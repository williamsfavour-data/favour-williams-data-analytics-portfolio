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ashboard" sheetId="2" state="visible" r:id="rId4"/>
    <sheet name="Insights" sheetId="3" state="visible" r:id="rId5"/>
    <sheet name="Scenario Lab" sheetId="4" state="visible" r:id="rId6"/>
    <sheet name="Patient Data" sheetId="5" state="visible" r:id="rId7"/>
    <sheet name="Quality &amp; Method" sheetId="6" state="visible" r:id="rId8"/>
  </sheets>
  <definedNames>
    <definedName function="false" hidden="true" localSheetId="4" name="_xlnm._FilterDatabase" vbProcedure="false">'Patient Data'!$A$1:$W$181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<sst xmlns="http://schemas.openxmlformats.org/spreadsheetml/2006/main" count="2117" uniqueCount="582">
  <si>
    <t xml:space="preserve">THE PRICE OF WAITING</t>
  </si>
  <si>
    <t xml:space="preserve">Healthcare Service Utilization Workbook · Williams Favour Ifunanya · Favour's Analytics &amp; Research</t>
  </si>
  <si>
    <t xml:space="preserve">Portfolio project · Synthetic data (180 visits, Jan–Sep 2026) · Excel</t>
  </si>
  <si>
    <t xml:space="preserve">TOTAL VISITS</t>
  </si>
  <si>
    <t xml:space="preserve">AVG WAIT (MIN)</t>
  </si>
  <si>
    <t xml:space="preserve">AVG TREATMENT COST</t>
  </si>
  <si>
    <t xml:space="preserve">AVG SATISFACTION</t>
  </si>
  <si>
    <t xml:space="preserve">FOLLOW-UP COMPLETION</t>
  </si>
  <si>
    <t xml:space="preserve">THE OPERATIONAL QUESTION</t>
  </si>
  <si>
    <t xml:space="preserve">Where do waiting times, costs and missed follow-ups concentrate across departments and locations, does waiting cost patient satisfaction, and which fixes are worth testing first?</t>
  </si>
  <si>
    <t xml:space="preserve">WHAT THE DATA SAYS (live formulas)</t>
  </si>
  <si>
    <t xml:space="preserve">THREE RECOMMENDATIONS (tested in the Scenario Lab)</t>
  </si>
  <si>
    <t xml:space="preserve">Cut excess waiting where it concentrates</t>
  </si>
  <si>
    <t xml:space="preserve">Close the follow-up gap</t>
  </si>
  <si>
    <t xml:space="preserve">Fix the data, then monitor monthly</t>
  </si>
  <si>
    <t xml:space="preserve">WORKBOOK GUIDE (tap to jump)</t>
  </si>
  <si>
    <t xml:space="preserve">Dashboard</t>
  </si>
  <si>
    <t xml:space="preserve">Interactive KPIs and charts with Department, Location, Visit Type filters</t>
  </si>
  <si>
    <t xml:space="preserve">Insights</t>
  </si>
  <si>
    <t xml:space="preserve">Scorecard, waiting vs satisfaction, follow-up, hotspot map, trends, age and diagnosis</t>
  </si>
  <si>
    <t xml:space="preserve">Scenario Lab</t>
  </si>
  <si>
    <t xml:space="preserve">Set targets and test the waiting-time and follow-up fixes</t>
  </si>
  <si>
    <t xml:space="preserve">Patient Data</t>
  </si>
  <si>
    <t xml:space="preserve">180 synthetic visits with calculated columns (filters on)</t>
  </si>
  <si>
    <t xml:space="preserve">Quality &amp; Method</t>
  </si>
  <si>
    <t xml:space="preserve">Checks, what was added, limitations and privacy</t>
  </si>
  <si>
    <t xml:space="preserve">Data note: all records are synthetic and created for portfolio demonstration; no real patient data is used and this is not a clinical study.</t>
  </si>
  <si>
    <t xml:space="preserve">HEALTHCARE SERVICE UTILIZATION DASHBOARD</t>
  </si>
  <si>
    <t xml:space="preserve">Synthetic dataset · 180 visits · Jan–Sep 2026 · No real patient data · Use the yellow dropdowns to filter every KPI and chart</t>
  </si>
  <si>
    <t xml:space="preserve">DEPARTMENT</t>
  </si>
  <si>
    <t xml:space="preserve">All</t>
  </si>
  <si>
    <t xml:space="preserve">LOCATION</t>
  </si>
  <si>
    <t xml:space="preserve">VISIT TYPE</t>
  </si>
  <si>
    <t xml:space="preserve">OVER WAIT LIMIT</t>
  </si>
  <si>
    <t xml:space="preserve">WHAT THE DATA SAYS (updates with your filters)</t>
  </si>
  <si>
    <t xml:space="preserve">CHART DATA (filter-driven · feeds the charts above)</t>
  </si>
  <si>
    <t xml:space="preserve">Month</t>
  </si>
  <si>
    <t xml:space="preserve">Visits</t>
  </si>
  <si>
    <t xml:space="preserve">Avg Wait (min)</t>
  </si>
  <si>
    <t xml:space="preserve">Avg Satisfaction</t>
  </si>
  <si>
    <t xml:space="preserve">Wait Band</t>
  </si>
  <si>
    <t xml:space="preserve">Share</t>
  </si>
  <si>
    <t xml:space="preserve">Jan</t>
  </si>
  <si>
    <t xml:space="preserve">Up to 30</t>
  </si>
  <si>
    <t xml:space="preserve">Feb</t>
  </si>
  <si>
    <t xml:space="preserve">31–60</t>
  </si>
  <si>
    <t xml:space="preserve">Mar</t>
  </si>
  <si>
    <t xml:space="preserve">61–90</t>
  </si>
  <si>
    <t xml:space="preserve">Apr</t>
  </si>
  <si>
    <t xml:space="preserve">Over 90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</si>
  <si>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</si>
  <si>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</si>
  <si>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</si>
  <si>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</si>
  <si>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</si>
  <si>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Department</t>
  </si>
  <si>
    <t xml:space="preserve">Location</t>
  </si>
  <si>
    <t xml:space="preserve">Follow-up Completion</t>
  </si>
  <si>
    <t xml:space="preserve">Emergency</t>
  </si>
  <si>
    <t xml:space="preserve">Abuja</t>
  </si>
  <si>
    <t xml:space="preserve">General Medicine</t>
  </si>
  <si>
    <t xml:space="preserve">Gwarinpa</t>
  </si>
  <si>
    <t xml:space="preserve">Maternal Health</t>
  </si>
  <si>
    <t xml:space="preserve">Kubwa</t>
  </si>
  <si>
    <t xml:space="preserve">Outpatient</t>
  </si>
  <si>
    <t xml:space="preserve">Kuje</t>
  </si>
  <si>
    <t xml:space="preserve">Pediatrics</t>
  </si>
  <si>
    <t xml:space="preserve">Nyanya</t>
  </si>
  <si>
    <t xml:space="preserve">Surgery</t>
  </si>
  <si>
    <t xml:space="preserve">INSIGHTS · Where waiting, cost and follow-up gaps concentrate</t>
  </si>
  <si>
    <t xml:space="preserve">Whole-dataset analysis (not filtered). Every number is a live formula on the Patient Data tab; targets come from the Scenario Lab.</t>
  </si>
  <si>
    <t xml:space="preserve">1 · Department scorecard (RAG status against Scenario Lab targets)</t>
  </si>
  <si>
    <t xml:space="preserve">% Over Wait Limit</t>
  </si>
  <si>
    <t xml:space="preserve">Avg Cost</t>
  </si>
  <si>
    <t xml:space="preserve">Follow-ups Due</t>
  </si>
  <si>
    <t xml:space="preserve">Status</t>
  </si>
  <si>
    <t xml:space="preserve">All departments</t>
  </si>
  <si>
    <t xml:space="preserve">Status = number of targets missed: satisfaction below target, follow-up completion below target, or too many visits over the wait limit (0 = GREEN, 1 = AMBER, 2+ = RED).</t>
  </si>
  <si>
    <t xml:space="preserve">2 · Does waiting cost satisfaction?</t>
  </si>
  <si>
    <t xml:space="preserve">Wait Band (min)</t>
  </si>
  <si>
    <t xml:space="preserve">Share of Visits</t>
  </si>
  <si>
    <t xml:space="preserve">Correlation: wait vs satisfaction</t>
  </si>
  <si>
    <t xml:space="preserve">Association in a synthetic sample, not proof of cause. Scores only range 3–5.</t>
  </si>
  <si>
    <t xml:space="preserve">Satisfaction change per extra 10 min</t>
  </si>
  <si>
    <t xml:space="preserve">3 · Follow-up completion by location</t>
  </si>
  <si>
    <t xml:space="preserve">Completed</t>
  </si>
  <si>
    <t xml:space="preserve">Completion</t>
  </si>
  <si>
    <t xml:space="preserve">4 · Hotspot map: average wait (min) by department and location</t>
  </si>
  <si>
    <t xml:space="preserve">All locations</t>
  </si>
  <si>
    <t xml:space="preserve">5 · Monthly trend</t>
  </si>
  <si>
    <t xml:space="preserve">Treatment Cost</t>
  </si>
  <si>
    <t xml:space="preserve">Visits vs Prior Month</t>
  </si>
  <si>
    <t xml:space="preserve">Total</t>
  </si>
  <si>
    <t xml:space="preserve">6 · Age-group utilization</t>
  </si>
  <si>
    <t xml:space="preserve">Age Group</t>
  </si>
  <si>
    <t xml:space="preserve">1–14</t>
  </si>
  <si>
    <t xml:space="preserve">15–24</t>
  </si>
  <si>
    <t xml:space="preserve">25–44</t>
  </si>
  <si>
    <t xml:space="preserve">45–64</t>
  </si>
  <si>
    <t xml:space="preserve">65+</t>
  </si>
  <si>
    <t xml:space="preserve">7 · Diagnosis category</t>
  </si>
  <si>
    <t xml:space="preserve">Diagnosis</t>
  </si>
  <si>
    <t xml:space="preserve">Avg Stay (days)</t>
  </si>
  <si>
    <t xml:space="preserve">Diabetes</t>
  </si>
  <si>
    <t xml:space="preserve">Gastrointestinal</t>
  </si>
  <si>
    <t xml:space="preserve">Hypertension</t>
  </si>
  <si>
    <t xml:space="preserve">Injury</t>
  </si>
  <si>
    <t xml:space="preserve">Malaria/Fever</t>
  </si>
  <si>
    <t xml:space="preserve">Maternal/Child Health</t>
  </si>
  <si>
    <t xml:space="preserve">Respiratory</t>
  </si>
  <si>
    <t xml:space="preserve">8 · Visit type</t>
  </si>
  <si>
    <t xml:space="preserve">Visit Type</t>
  </si>
  <si>
    <t xml:space="preserve">Follow-up</t>
  </si>
  <si>
    <t xml:space="preserve">Routine Check</t>
  </si>
  <si>
    <t xml:space="preserve">SCENARIO LAB · Set targets, test the fix</t>
  </si>
  <si>
    <t xml:space="preserve">Change the yellow cells (blue text = your inputs). Everything recalculates. Estimates describe this synthetic dataset and show association, not clinical cause.</t>
  </si>
  <si>
    <t xml:space="preserve">1 · Targets and levers</t>
  </si>
  <si>
    <t xml:space="preserve">Maximum acceptable waiting time (min)</t>
  </si>
  <si>
    <t xml:space="preserve">Visits above this count as "over the wait limit"</t>
  </si>
  <si>
    <t xml:space="preserve">Share of excess waiting removed by process changes</t>
  </si>
  <si>
    <t xml:space="preserve">Applied to minutes above the limit only</t>
  </si>
  <si>
    <t xml:space="preserve">Follow-up completion target</t>
  </si>
  <si>
    <t xml:space="preserve">Default = current overall rate; raise it to test a stretch goal</t>
  </si>
  <si>
    <t xml:space="preserve">Satisfaction target (avg, 1-5)</t>
  </si>
  <si>
    <t xml:space="preserve">Used by the department scorecard</t>
  </si>
  <si>
    <t xml:space="preserve">Max acceptable share of visits over the wait limit</t>
  </si>
  <si>
    <t xml:space="preserve">2 · Waiting-time scenario</t>
  </si>
  <si>
    <t xml:space="preserve">Visits over the wait limit (now)</t>
  </si>
  <si>
    <t xml:space="preserve">Share of visits over the limit (now)</t>
  </si>
  <si>
    <t xml:space="preserve">Average wait now (min)</t>
  </si>
  <si>
    <t xml:space="preserve">Average minutes removed per visit</t>
  </si>
  <si>
    <t xml:space="preserve">Average wait after (min)</t>
  </si>
  <si>
    <t xml:space="preserve">Average satisfaction now</t>
  </si>
  <si>
    <t xml:space="preserve">Observed link: satisfaction points per extra minute waited</t>
  </si>
  <si>
    <t xml:space="preserve">Predicted satisfaction after</t>
  </si>
  <si>
    <t xml:space="preserve">Predicted satisfaction gain (points)</t>
  </si>
  <si>
    <t xml:space="preserve">← headline</t>
  </si>
  <si>
    <t xml:space="preserve">Method: gain = observed slope x average minutes removed. It assumes the wait/satisfaction link in this sample holds if waits fall.</t>
  </si>
  <si>
    <t xml:space="preserve">3 · Follow-up gap by department (target set above)</t>
  </si>
  <si>
    <t xml:space="preserve">Completion Rate</t>
  </si>
  <si>
    <t xml:space="preserve">Extra Completions Needed</t>
  </si>
  <si>
    <t xml:space="preserve">4 · Sensitivity: predicted satisfaction gain (points) for different wait limits and process-change strength</t>
  </si>
  <si>
    <t xml:space="preserve">Wait limit (min) ↓   |   Excess waiting removed →</t>
  </si>
  <si>
    <t xml:space="preserve">Reading it: a tighter wait limit with stronger process change gives a bigger predicted gain, but it also needs more staffing or queue redesign.</t>
  </si>
  <si>
    <t xml:space="preserve">Patient ID</t>
  </si>
  <si>
    <t xml:space="preserve">Visit ID</t>
  </si>
  <si>
    <t xml:space="preserve">Visit Date</t>
  </si>
  <si>
    <t xml:space="preserve">Age</t>
  </si>
  <si>
    <t xml:space="preserve">Gender</t>
  </si>
  <si>
    <t xml:space="preserve">Diagnosis Category</t>
  </si>
  <si>
    <t xml:space="preserve">Waiting Time (min)</t>
  </si>
  <si>
    <t xml:space="preserve">Length of Stay (days)</t>
  </si>
  <si>
    <t xml:space="preserve">Treatment Cost (₦)</t>
  </si>
  <si>
    <t xml:space="preserve">Follow-up Required</t>
  </si>
  <si>
    <t xml:space="preserve">Follow-up Completed</t>
  </si>
  <si>
    <t xml:space="preserve">Satisfaction (1-5)</t>
  </si>
  <si>
    <t xml:space="preserve">Outcome</t>
  </si>
  <si>
    <t xml:space="preserve">Month No</t>
  </si>
  <si>
    <t xml:space="preserve">Over Wait Limit</t>
  </si>
  <si>
    <t xml:space="preserve">Follow-up Due</t>
  </si>
  <si>
    <t xml:space="preserve">Follow-up Done</t>
  </si>
  <si>
    <t xml:space="preserve">Review Flag</t>
  </si>
  <si>
    <t xml:space="preserve">P0001</t>
  </si>
  <si>
    <t xml:space="preserve">V0001</t>
  </si>
  <si>
    <t xml:space="preserve">Female</t>
  </si>
  <si>
    <t xml:space="preserve">Yes</t>
  </si>
  <si>
    <t xml:space="preserve">Discharged</t>
  </si>
  <si>
    <t xml:space="preserve">P0002</t>
  </si>
  <si>
    <t xml:space="preserve">V0002</t>
  </si>
  <si>
    <t xml:space="preserve">No</t>
  </si>
  <si>
    <t xml:space="preserve">N/A</t>
  </si>
  <si>
    <t xml:space="preserve">P0003</t>
  </si>
  <si>
    <t xml:space="preserve">V0003</t>
  </si>
  <si>
    <t xml:space="preserve">Male</t>
  </si>
  <si>
    <t xml:space="preserve">P0004</t>
  </si>
  <si>
    <t xml:space="preserve">V0004</t>
  </si>
  <si>
    <t xml:space="preserve">P0005</t>
  </si>
  <si>
    <t xml:space="preserve">V0005</t>
  </si>
  <si>
    <t xml:space="preserve">P0006</t>
  </si>
  <si>
    <t xml:space="preserve">V0006</t>
  </si>
  <si>
    <t xml:space="preserve">Admitted</t>
  </si>
  <si>
    <t xml:space="preserve">P0007</t>
  </si>
  <si>
    <t xml:space="preserve">V0007</t>
  </si>
  <si>
    <t xml:space="preserve">P0008</t>
  </si>
  <si>
    <t xml:space="preserve">V0008</t>
  </si>
  <si>
    <t xml:space="preserve">P0009</t>
  </si>
  <si>
    <t xml:space="preserve">V0009</t>
  </si>
  <si>
    <t xml:space="preserve">P0010</t>
  </si>
  <si>
    <t xml:space="preserve">V0010</t>
  </si>
  <si>
    <t xml:space="preserve">P0011</t>
  </si>
  <si>
    <t xml:space="preserve">V0011</t>
  </si>
  <si>
    <t xml:space="preserve">P0012</t>
  </si>
  <si>
    <t xml:space="preserve">V0012</t>
  </si>
  <si>
    <t xml:space="preserve">P0013</t>
  </si>
  <si>
    <t xml:space="preserve">V0013</t>
  </si>
  <si>
    <t xml:space="preserve">P0014</t>
  </si>
  <si>
    <t xml:space="preserve">V0014</t>
  </si>
  <si>
    <t xml:space="preserve">P0015</t>
  </si>
  <si>
    <t xml:space="preserve">V0015</t>
  </si>
  <si>
    <t xml:space="preserve">P0016</t>
  </si>
  <si>
    <t xml:space="preserve">V0016</t>
  </si>
  <si>
    <t xml:space="preserve">P0017</t>
  </si>
  <si>
    <t xml:space="preserve">V0017</t>
  </si>
  <si>
    <t xml:space="preserve">P0018</t>
  </si>
  <si>
    <t xml:space="preserve">V0018</t>
  </si>
  <si>
    <t xml:space="preserve">P0019</t>
  </si>
  <si>
    <t xml:space="preserve">V0019</t>
  </si>
  <si>
    <t xml:space="preserve">P0020</t>
  </si>
  <si>
    <t xml:space="preserve">V0020</t>
  </si>
  <si>
    <t xml:space="preserve">P0021</t>
  </si>
  <si>
    <t xml:space="preserve">V0021</t>
  </si>
  <si>
    <t xml:space="preserve">P0022</t>
  </si>
  <si>
    <t xml:space="preserve">V0022</t>
  </si>
  <si>
    <t xml:space="preserve">P0023</t>
  </si>
  <si>
    <t xml:space="preserve">V0023</t>
  </si>
  <si>
    <t xml:space="preserve">P0024</t>
  </si>
  <si>
    <t xml:space="preserve">V0024</t>
  </si>
  <si>
    <t xml:space="preserve">P0025</t>
  </si>
  <si>
    <t xml:space="preserve">V0025</t>
  </si>
  <si>
    <t xml:space="preserve">P0026</t>
  </si>
  <si>
    <t xml:space="preserve">V0026</t>
  </si>
  <si>
    <t xml:space="preserve">P0027</t>
  </si>
  <si>
    <t xml:space="preserve">V0027</t>
  </si>
  <si>
    <t xml:space="preserve">P0028</t>
  </si>
  <si>
    <t xml:space="preserve">V0028</t>
  </si>
  <si>
    <t xml:space="preserve">P0029</t>
  </si>
  <si>
    <t xml:space="preserve">V0029</t>
  </si>
  <si>
    <t xml:space="preserve">P0030</t>
  </si>
  <si>
    <t xml:space="preserve">V0030</t>
  </si>
  <si>
    <t xml:space="preserve">P0031</t>
  </si>
  <si>
    <t xml:space="preserve">V0031</t>
  </si>
  <si>
    <t xml:space="preserve">P0032</t>
  </si>
  <si>
    <t xml:space="preserve">V0032</t>
  </si>
  <si>
    <t xml:space="preserve">P0033</t>
  </si>
  <si>
    <t xml:space="preserve">V0033</t>
  </si>
  <si>
    <t xml:space="preserve">P0034</t>
  </si>
  <si>
    <t xml:space="preserve">V0034</t>
  </si>
  <si>
    <t xml:space="preserve">P0035</t>
  </si>
  <si>
    <t xml:space="preserve">V0035</t>
  </si>
  <si>
    <t xml:space="preserve">P0036</t>
  </si>
  <si>
    <t xml:space="preserve">V0036</t>
  </si>
  <si>
    <t xml:space="preserve">P0037</t>
  </si>
  <si>
    <t xml:space="preserve">V0037</t>
  </si>
  <si>
    <t xml:space="preserve">P0038</t>
  </si>
  <si>
    <t xml:space="preserve">V0038</t>
  </si>
  <si>
    <t xml:space="preserve">P0039</t>
  </si>
  <si>
    <t xml:space="preserve">V0039</t>
  </si>
  <si>
    <t xml:space="preserve">P0040</t>
  </si>
  <si>
    <t xml:space="preserve">V0040</t>
  </si>
  <si>
    <t xml:space="preserve">P0041</t>
  </si>
  <si>
    <t xml:space="preserve">V0041</t>
  </si>
  <si>
    <t xml:space="preserve">P0042</t>
  </si>
  <si>
    <t xml:space="preserve">V0042</t>
  </si>
  <si>
    <t xml:space="preserve">P0043</t>
  </si>
  <si>
    <t xml:space="preserve">V0043</t>
  </si>
  <si>
    <t xml:space="preserve">P0044</t>
  </si>
  <si>
    <t xml:space="preserve">V0044</t>
  </si>
  <si>
    <t xml:space="preserve">P0045</t>
  </si>
  <si>
    <t xml:space="preserve">V0045</t>
  </si>
  <si>
    <t xml:space="preserve">P0046</t>
  </si>
  <si>
    <t xml:space="preserve">V0046</t>
  </si>
  <si>
    <t xml:space="preserve">P0047</t>
  </si>
  <si>
    <t xml:space="preserve">V0047</t>
  </si>
  <si>
    <t xml:space="preserve">P0048</t>
  </si>
  <si>
    <t xml:space="preserve">V0048</t>
  </si>
  <si>
    <t xml:space="preserve">P0049</t>
  </si>
  <si>
    <t xml:space="preserve">V0049</t>
  </si>
  <si>
    <t xml:space="preserve">P0050</t>
  </si>
  <si>
    <t xml:space="preserve">V0050</t>
  </si>
  <si>
    <t xml:space="preserve">P0051</t>
  </si>
  <si>
    <t xml:space="preserve">V0051</t>
  </si>
  <si>
    <t xml:space="preserve">P0052</t>
  </si>
  <si>
    <t xml:space="preserve">V0052</t>
  </si>
  <si>
    <t xml:space="preserve">P0053</t>
  </si>
  <si>
    <t xml:space="preserve">V0053</t>
  </si>
  <si>
    <t xml:space="preserve">P0054</t>
  </si>
  <si>
    <t xml:space="preserve">V0054</t>
  </si>
  <si>
    <t xml:space="preserve">P0055</t>
  </si>
  <si>
    <t xml:space="preserve">V0055</t>
  </si>
  <si>
    <t xml:space="preserve">P0056</t>
  </si>
  <si>
    <t xml:space="preserve">V0056</t>
  </si>
  <si>
    <t xml:space="preserve">P0057</t>
  </si>
  <si>
    <t xml:space="preserve">V0057</t>
  </si>
  <si>
    <t xml:space="preserve">P0058</t>
  </si>
  <si>
    <t xml:space="preserve">V0058</t>
  </si>
  <si>
    <t xml:space="preserve">Transferred</t>
  </si>
  <si>
    <t xml:space="preserve">P0059</t>
  </si>
  <si>
    <t xml:space="preserve">V0059</t>
  </si>
  <si>
    <t xml:space="preserve">P0060</t>
  </si>
  <si>
    <t xml:space="preserve">V0060</t>
  </si>
  <si>
    <t xml:space="preserve">P0061</t>
  </si>
  <si>
    <t xml:space="preserve">V0061</t>
  </si>
  <si>
    <t xml:space="preserve">P0062</t>
  </si>
  <si>
    <t xml:space="preserve">V0062</t>
  </si>
  <si>
    <t xml:space="preserve">P0063</t>
  </si>
  <si>
    <t xml:space="preserve">V0063</t>
  </si>
  <si>
    <t xml:space="preserve">P0064</t>
  </si>
  <si>
    <t xml:space="preserve">V0064</t>
  </si>
  <si>
    <t xml:space="preserve">P0065</t>
  </si>
  <si>
    <t xml:space="preserve">V0065</t>
  </si>
  <si>
    <t xml:space="preserve">P0066</t>
  </si>
  <si>
    <t xml:space="preserve">V0066</t>
  </si>
  <si>
    <t xml:space="preserve">P0067</t>
  </si>
  <si>
    <t xml:space="preserve">V0067</t>
  </si>
  <si>
    <t xml:space="preserve">P0068</t>
  </si>
  <si>
    <t xml:space="preserve">V0068</t>
  </si>
  <si>
    <t xml:space="preserve">P0069</t>
  </si>
  <si>
    <t xml:space="preserve">V0069</t>
  </si>
  <si>
    <t xml:space="preserve">P0070</t>
  </si>
  <si>
    <t xml:space="preserve">V0070</t>
  </si>
  <si>
    <t xml:space="preserve">P0071</t>
  </si>
  <si>
    <t xml:space="preserve">V0071</t>
  </si>
  <si>
    <t xml:space="preserve">P0072</t>
  </si>
  <si>
    <t xml:space="preserve">V0072</t>
  </si>
  <si>
    <t xml:space="preserve">P0073</t>
  </si>
  <si>
    <t xml:space="preserve">V0073</t>
  </si>
  <si>
    <t xml:space="preserve">P0074</t>
  </si>
  <si>
    <t xml:space="preserve">V0074</t>
  </si>
  <si>
    <t xml:space="preserve">P0075</t>
  </si>
  <si>
    <t xml:space="preserve">V0075</t>
  </si>
  <si>
    <t xml:space="preserve">P0076</t>
  </si>
  <si>
    <t xml:space="preserve">V0076</t>
  </si>
  <si>
    <t xml:space="preserve">P0077</t>
  </si>
  <si>
    <t xml:space="preserve">V0077</t>
  </si>
  <si>
    <t xml:space="preserve">P0078</t>
  </si>
  <si>
    <t xml:space="preserve">V0078</t>
  </si>
  <si>
    <t xml:space="preserve">P0079</t>
  </si>
  <si>
    <t xml:space="preserve">V0079</t>
  </si>
  <si>
    <t xml:space="preserve">P0080</t>
  </si>
  <si>
    <t xml:space="preserve">V0080</t>
  </si>
  <si>
    <t xml:space="preserve">P0081</t>
  </si>
  <si>
    <t xml:space="preserve">V0081</t>
  </si>
  <si>
    <t xml:space="preserve">P0082</t>
  </si>
  <si>
    <t xml:space="preserve">V0082</t>
  </si>
  <si>
    <t xml:space="preserve">P0083</t>
  </si>
  <si>
    <t xml:space="preserve">V0083</t>
  </si>
  <si>
    <t xml:space="preserve">P0084</t>
  </si>
  <si>
    <t xml:space="preserve">V0084</t>
  </si>
  <si>
    <t xml:space="preserve">P0085</t>
  </si>
  <si>
    <t xml:space="preserve">V0085</t>
  </si>
  <si>
    <t xml:space="preserve">P0086</t>
  </si>
  <si>
    <t xml:space="preserve">V0086</t>
  </si>
  <si>
    <t xml:space="preserve">P0087</t>
  </si>
  <si>
    <t xml:space="preserve">V0087</t>
  </si>
  <si>
    <t xml:space="preserve">P0088</t>
  </si>
  <si>
    <t xml:space="preserve">V0088</t>
  </si>
  <si>
    <t xml:space="preserve">P0089</t>
  </si>
  <si>
    <t xml:space="preserve">V0089</t>
  </si>
  <si>
    <t xml:space="preserve">P0090</t>
  </si>
  <si>
    <t xml:space="preserve">V0090</t>
  </si>
  <si>
    <t xml:space="preserve">P0091</t>
  </si>
  <si>
    <t xml:space="preserve">V0091</t>
  </si>
  <si>
    <t xml:space="preserve">P0092</t>
  </si>
  <si>
    <t xml:space="preserve">V0092</t>
  </si>
  <si>
    <t xml:space="preserve">P0093</t>
  </si>
  <si>
    <t xml:space="preserve">V0093</t>
  </si>
  <si>
    <t xml:space="preserve">P0094</t>
  </si>
  <si>
    <t xml:space="preserve">V0094</t>
  </si>
  <si>
    <t xml:space="preserve">P0095</t>
  </si>
  <si>
    <t xml:space="preserve">V0095</t>
  </si>
  <si>
    <t xml:space="preserve">P0096</t>
  </si>
  <si>
    <t xml:space="preserve">V0096</t>
  </si>
  <si>
    <t xml:space="preserve">P0097</t>
  </si>
  <si>
    <t xml:space="preserve">V0097</t>
  </si>
  <si>
    <t xml:space="preserve">P0098</t>
  </si>
  <si>
    <t xml:space="preserve">V0098</t>
  </si>
  <si>
    <t xml:space="preserve">P0099</t>
  </si>
  <si>
    <t xml:space="preserve">V0099</t>
  </si>
  <si>
    <t xml:space="preserve">P0100</t>
  </si>
  <si>
    <t xml:space="preserve">V0100</t>
  </si>
  <si>
    <t xml:space="preserve">P0101</t>
  </si>
  <si>
    <t xml:space="preserve">V0101</t>
  </si>
  <si>
    <t xml:space="preserve">P0102</t>
  </si>
  <si>
    <t xml:space="preserve">V0102</t>
  </si>
  <si>
    <t xml:space="preserve">P0103</t>
  </si>
  <si>
    <t xml:space="preserve">V0103</t>
  </si>
  <si>
    <t xml:space="preserve">P0104</t>
  </si>
  <si>
    <t xml:space="preserve">V0104</t>
  </si>
  <si>
    <t xml:space="preserve">P0105</t>
  </si>
  <si>
    <t xml:space="preserve">V0105</t>
  </si>
  <si>
    <t xml:space="preserve">P0106</t>
  </si>
  <si>
    <t xml:space="preserve">V0106</t>
  </si>
  <si>
    <t xml:space="preserve">P0107</t>
  </si>
  <si>
    <t xml:space="preserve">V0107</t>
  </si>
  <si>
    <t xml:space="preserve">P0108</t>
  </si>
  <si>
    <t xml:space="preserve">V0108</t>
  </si>
  <si>
    <t xml:space="preserve">P0109</t>
  </si>
  <si>
    <t xml:space="preserve">V0109</t>
  </si>
  <si>
    <t xml:space="preserve">P0110</t>
  </si>
  <si>
    <t xml:space="preserve">V0110</t>
  </si>
  <si>
    <t xml:space="preserve">P0111</t>
  </si>
  <si>
    <t xml:space="preserve">V0111</t>
  </si>
  <si>
    <t xml:space="preserve">P0112</t>
  </si>
  <si>
    <t xml:space="preserve">V0112</t>
  </si>
  <si>
    <t xml:space="preserve">P0113</t>
  </si>
  <si>
    <t xml:space="preserve">V0113</t>
  </si>
  <si>
    <t xml:space="preserve">P0114</t>
  </si>
  <si>
    <t xml:space="preserve">V0114</t>
  </si>
  <si>
    <t xml:space="preserve">P0115</t>
  </si>
  <si>
    <t xml:space="preserve">V0115</t>
  </si>
  <si>
    <t xml:space="preserve">P0116</t>
  </si>
  <si>
    <t xml:space="preserve">V0116</t>
  </si>
  <si>
    <t xml:space="preserve">P0117</t>
  </si>
  <si>
    <t xml:space="preserve">V0117</t>
  </si>
  <si>
    <t xml:space="preserve">P0118</t>
  </si>
  <si>
    <t xml:space="preserve">V0118</t>
  </si>
  <si>
    <t xml:space="preserve">P0119</t>
  </si>
  <si>
    <t xml:space="preserve">V0119</t>
  </si>
  <si>
    <t xml:space="preserve">P0120</t>
  </si>
  <si>
    <t xml:space="preserve">V0120</t>
  </si>
  <si>
    <t xml:space="preserve">P0121</t>
  </si>
  <si>
    <t xml:space="preserve">V0121</t>
  </si>
  <si>
    <t xml:space="preserve">P0122</t>
  </si>
  <si>
    <t xml:space="preserve">V0122</t>
  </si>
  <si>
    <t xml:space="preserve">P0123</t>
  </si>
  <si>
    <t xml:space="preserve">V0123</t>
  </si>
  <si>
    <t xml:space="preserve">P0124</t>
  </si>
  <si>
    <t xml:space="preserve">V0124</t>
  </si>
  <si>
    <t xml:space="preserve">P0125</t>
  </si>
  <si>
    <t xml:space="preserve">V0125</t>
  </si>
  <si>
    <t xml:space="preserve">P0126</t>
  </si>
  <si>
    <t xml:space="preserve">V0126</t>
  </si>
  <si>
    <t xml:space="preserve">P0127</t>
  </si>
  <si>
    <t xml:space="preserve">V0127</t>
  </si>
  <si>
    <t xml:space="preserve">P0128</t>
  </si>
  <si>
    <t xml:space="preserve">V0128</t>
  </si>
  <si>
    <t xml:space="preserve">P0129</t>
  </si>
  <si>
    <t xml:space="preserve">V0129</t>
  </si>
  <si>
    <t xml:space="preserve">P0130</t>
  </si>
  <si>
    <t xml:space="preserve">V0130</t>
  </si>
  <si>
    <t xml:space="preserve">P0131</t>
  </si>
  <si>
    <t xml:space="preserve">V0131</t>
  </si>
  <si>
    <t xml:space="preserve">P0132</t>
  </si>
  <si>
    <t xml:space="preserve">V0132</t>
  </si>
  <si>
    <t xml:space="preserve">P0133</t>
  </si>
  <si>
    <t xml:space="preserve">V0133</t>
  </si>
  <si>
    <t xml:space="preserve">P0134</t>
  </si>
  <si>
    <t xml:space="preserve">V0134</t>
  </si>
  <si>
    <t xml:space="preserve">P0135</t>
  </si>
  <si>
    <t xml:space="preserve">V0135</t>
  </si>
  <si>
    <t xml:space="preserve">P0136</t>
  </si>
  <si>
    <t xml:space="preserve">V0136</t>
  </si>
  <si>
    <t xml:space="preserve">P0137</t>
  </si>
  <si>
    <t xml:space="preserve">V0137</t>
  </si>
  <si>
    <t xml:space="preserve">P0138</t>
  </si>
  <si>
    <t xml:space="preserve">V0138</t>
  </si>
  <si>
    <t xml:space="preserve">P0139</t>
  </si>
  <si>
    <t xml:space="preserve">V0139</t>
  </si>
  <si>
    <t xml:space="preserve">P0140</t>
  </si>
  <si>
    <t xml:space="preserve">V0140</t>
  </si>
  <si>
    <t xml:space="preserve">P0141</t>
  </si>
  <si>
    <t xml:space="preserve">V0141</t>
  </si>
  <si>
    <t xml:space="preserve">P0142</t>
  </si>
  <si>
    <t xml:space="preserve">V0142</t>
  </si>
  <si>
    <t xml:space="preserve">P0143</t>
  </si>
  <si>
    <t xml:space="preserve">V0143</t>
  </si>
  <si>
    <t xml:space="preserve">P0144</t>
  </si>
  <si>
    <t xml:space="preserve">V0144</t>
  </si>
  <si>
    <t xml:space="preserve">P0145</t>
  </si>
  <si>
    <t xml:space="preserve">V0145</t>
  </si>
  <si>
    <t xml:space="preserve">P0146</t>
  </si>
  <si>
    <t xml:space="preserve">V0146</t>
  </si>
  <si>
    <t xml:space="preserve">P0147</t>
  </si>
  <si>
    <t xml:space="preserve">V0147</t>
  </si>
  <si>
    <t xml:space="preserve">P0148</t>
  </si>
  <si>
    <t xml:space="preserve">V0148</t>
  </si>
  <si>
    <t xml:space="preserve">P0149</t>
  </si>
  <si>
    <t xml:space="preserve">V0149</t>
  </si>
  <si>
    <t xml:space="preserve">P0150</t>
  </si>
  <si>
    <t xml:space="preserve">V0150</t>
  </si>
  <si>
    <t xml:space="preserve">P0151</t>
  </si>
  <si>
    <t xml:space="preserve">V0151</t>
  </si>
  <si>
    <t xml:space="preserve">P0152</t>
  </si>
  <si>
    <t xml:space="preserve">V0152</t>
  </si>
  <si>
    <t xml:space="preserve">P0153</t>
  </si>
  <si>
    <t xml:space="preserve">V0153</t>
  </si>
  <si>
    <t xml:space="preserve">P0154</t>
  </si>
  <si>
    <t xml:space="preserve">V0154</t>
  </si>
  <si>
    <t xml:space="preserve">P0155</t>
  </si>
  <si>
    <t xml:space="preserve">V0155</t>
  </si>
  <si>
    <t xml:space="preserve">P0156</t>
  </si>
  <si>
    <t xml:space="preserve">V0156</t>
  </si>
  <si>
    <t xml:space="preserve">P0157</t>
  </si>
  <si>
    <t xml:space="preserve">V0157</t>
  </si>
  <si>
    <t xml:space="preserve">P0158</t>
  </si>
  <si>
    <t xml:space="preserve">V0158</t>
  </si>
  <si>
    <t xml:space="preserve">P0159</t>
  </si>
  <si>
    <t xml:space="preserve">V0159</t>
  </si>
  <si>
    <t xml:space="preserve">P0160</t>
  </si>
  <si>
    <t xml:space="preserve">V0160</t>
  </si>
  <si>
    <t xml:space="preserve">P0161</t>
  </si>
  <si>
    <t xml:space="preserve">V0161</t>
  </si>
  <si>
    <t xml:space="preserve">P0162</t>
  </si>
  <si>
    <t xml:space="preserve">V0162</t>
  </si>
  <si>
    <t xml:space="preserve">P0163</t>
  </si>
  <si>
    <t xml:space="preserve">V0163</t>
  </si>
  <si>
    <t xml:space="preserve">P0164</t>
  </si>
  <si>
    <t xml:space="preserve">V0164</t>
  </si>
  <si>
    <t xml:space="preserve">P0165</t>
  </si>
  <si>
    <t xml:space="preserve">V0165</t>
  </si>
  <si>
    <t xml:space="preserve">P0166</t>
  </si>
  <si>
    <t xml:space="preserve">V0166</t>
  </si>
  <si>
    <t xml:space="preserve">P0167</t>
  </si>
  <si>
    <t xml:space="preserve">V0167</t>
  </si>
  <si>
    <t xml:space="preserve">P0168</t>
  </si>
  <si>
    <t xml:space="preserve">V0168</t>
  </si>
  <si>
    <t xml:space="preserve">P0169</t>
  </si>
  <si>
    <t xml:space="preserve">V0169</t>
  </si>
  <si>
    <t xml:space="preserve">P0170</t>
  </si>
  <si>
    <t xml:space="preserve">V0170</t>
  </si>
  <si>
    <t xml:space="preserve">P0171</t>
  </si>
  <si>
    <t xml:space="preserve">V0171</t>
  </si>
  <si>
    <t xml:space="preserve">P0172</t>
  </si>
  <si>
    <t xml:space="preserve">V0172</t>
  </si>
  <si>
    <t xml:space="preserve">P0173</t>
  </si>
  <si>
    <t xml:space="preserve">V0173</t>
  </si>
  <si>
    <t xml:space="preserve">P0174</t>
  </si>
  <si>
    <t xml:space="preserve">V0174</t>
  </si>
  <si>
    <t xml:space="preserve">P0175</t>
  </si>
  <si>
    <t xml:space="preserve">V0175</t>
  </si>
  <si>
    <t xml:space="preserve">P0176</t>
  </si>
  <si>
    <t xml:space="preserve">V0176</t>
  </si>
  <si>
    <t xml:space="preserve">P0177</t>
  </si>
  <si>
    <t xml:space="preserve">V0177</t>
  </si>
  <si>
    <t xml:space="preserve">P0178</t>
  </si>
  <si>
    <t xml:space="preserve">V0178</t>
  </si>
  <si>
    <t xml:space="preserve">P0179</t>
  </si>
  <si>
    <t xml:space="preserve">V0179</t>
  </si>
  <si>
    <t xml:space="preserve">P0180</t>
  </si>
  <si>
    <t xml:space="preserve">V0180</t>
  </si>
  <si>
    <t xml:space="preserve">QUALITY &amp; METHOD · Why you can trust these numbers</t>
  </si>
  <si>
    <t xml:space="preserve">1 · Automated checks</t>
  </si>
  <si>
    <t xml:space="preserve">Check</t>
  </si>
  <si>
    <t xml:space="preserve">This workbook</t>
  </si>
  <si>
    <t xml:space="preserve">Reference</t>
  </si>
  <si>
    <t xml:space="preserve">Source of reference</t>
  </si>
  <si>
    <t xml:space="preserve">Total visits ties to original dashboard</t>
  </si>
  <si>
    <t xml:space="preserve">Original file, Dashboard tab</t>
  </si>
  <si>
    <t xml:space="preserve">Unique patients ties to original</t>
  </si>
  <si>
    <t xml:space="preserve">Visit IDs are unique</t>
  </si>
  <si>
    <t xml:space="preserve">Expected: every visit ID appears once</t>
  </si>
  <si>
    <t xml:space="preserve">Average wait ties to original (min)</t>
  </si>
  <si>
    <t xml:space="preserve">Original Dashboard (shown to 1 decimal)</t>
  </si>
  <si>
    <t xml:space="preserve">Average treatment cost ties to original</t>
  </si>
  <si>
    <t xml:space="preserve">Original Dashboard (rounded)</t>
  </si>
  <si>
    <t xml:space="preserve">Average satisfaction ties to original</t>
  </si>
  <si>
    <t xml:space="preserve">Original Dashboard (2 decimals)</t>
  </si>
  <si>
    <t xml:space="preserve">Follow-up completion ties to original</t>
  </si>
  <si>
    <t xml:space="preserve">Original Dashboard</t>
  </si>
  <si>
    <t xml:space="preserve">Emergency visits (visit type) ties to original</t>
  </si>
  <si>
    <t xml:space="preserve">Average length of stay ties to original (days)</t>
  </si>
  <si>
    <t xml:space="preserve">Original Dashboard (1 decimal)</t>
  </si>
  <si>
    <t xml:space="preserve">Department visits add up to total</t>
  </si>
  <si>
    <t xml:space="preserve">Insights vs Patient Data</t>
  </si>
  <si>
    <t xml:space="preserve">Age-group visits add up to total</t>
  </si>
  <si>
    <t xml:space="preserve">Original age bands reproduced</t>
  </si>
  <si>
    <t xml:space="preserve">Diagnosis visits add up to total</t>
  </si>
  <si>
    <t xml:space="preserve">Follow-up logic: "No" never has a completion status</t>
  </si>
  <si>
    <t xml:space="preserve">Required = No should read N/A</t>
  </si>
  <si>
    <t xml:space="preserve">Satisfaction scores all between 1 and 5</t>
  </si>
  <si>
    <t xml:space="preserve">Valid range</t>
  </si>
  <si>
    <t xml:space="preserve">Visit dates all fall in Jan–Sep 2026</t>
  </si>
  <si>
    <t xml:space="preserve">Expected reporting window</t>
  </si>
  <si>
    <t xml:space="preserve">Blank cells in raw inputs</t>
  </si>
  <si>
    <t xml:space="preserve">Expected: none</t>
  </si>
  <si>
    <t xml:space="preserve">Records flagged for review (adult male in Maternal Health)</t>
  </si>
  <si>
    <t xml:space="preserve">Kept in analysis; flagged, not deleted</t>
  </si>
  <si>
    <t xml:space="preserve">Overall</t>
  </si>
  <si>
    <t xml:space="preserve">2 · What this version adds to the original analysis</t>
  </si>
  <si>
    <t xml:space="preserve">•  Live formulas (COUNTIFS, SUMIFS, AVERAGEIFS, SUMPRODUCT, SLOPE, CORREL, INDEX/MATCH) replace typed-in results, so every table recalculates when the data changes.</t>
  </si>
  <si>
    <t xml:space="preserve">•  Interactive dashboard filters (Department, Location, Visit Type) drive all KPIs and charts.</t>
  </si>
  <si>
    <t xml:space="preserve">•  A department scorecard with red/amber/green status against targets you can change, plus a hotspot map of waiting time by department and location.</t>
  </si>
  <si>
    <t xml:space="preserve">•  A scenario lab that estimates the satisfaction gain from cutting excess waiting and counts the follow-ups needed to hit a completion target.</t>
  </si>
  <si>
    <t xml:space="preserve">•  Calculated columns on the data (age group, wait band, over-limit flag, follow-up due/done, review flag) and the checks above.</t>
  </si>
  <si>
    <t xml:space="preserve">3 · Method</t>
  </si>
  <si>
    <t xml:space="preserve">•  1) Reconcile every original KPI. 2) Add calculated columns. 3) Build department, wait-band, location, month, age and diagnosis views. 4) Test waiting time against satisfaction. 5) Model scenarios with explicit, editable assumptions. 6) Turn findings into three recommendations.</t>
  </si>
  <si>
    <t xml:space="preserve">4 · Limitations and honest disclosure</t>
  </si>
  <si>
    <t xml:space="preserve">•  Synthetic dataset of 180 visits created for portfolio practice. It contains no real patient names, contacts or records, and is not a clinical study.</t>
  </si>
  <si>
    <t xml:space="preserve">•  Findings show association, not cause. The satisfaction gain in the Scenario Lab assumes the link seen in this sample holds if waits fall.</t>
  </si>
  <si>
    <t xml:space="preserve">•  Satisfaction scores in the data only run from 3 to 5, so real-world variation is probably larger than shown.</t>
  </si>
  <si>
    <t xml:space="preserve">•  Each patient appears once (180 visits, 180 patients), so repeat visits and readmissions cannot be studied. Small departments such as Surgery (15 visits) give less stable rates.</t>
  </si>
  <si>
    <t xml:space="preserve">•  Records flagged for review (adult male patients under Maternal Health) were kept in the analysis. In real work they would be checked with the data owner.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</si>
</sst>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"/>
    <numFmt numFmtId="167" formatCode="\₦#,##0"/>
    <numFmt numFmtId="168" formatCode="0.00"/>
    <numFmt numFmtId="169" formatCode="0%"/>
    <numFmt numFmtId="170" formatCode="\+0.00;\-0.00"/>
    <numFmt numFmtId="171" formatCode="\+0%;[RED]\-0%"/>
    <numFmt numFmtId="172" formatCode="0.0%"/>
    <numFmt numFmtId="173" formatCode="0.000"/>
    <numFmt numFmtId="174" formatCode="\+0.00"/>
    <numFmt numFmtId="175" formatCode="dd\-mmm\-yyyy"/>
    <numFmt numFmtId="176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9"/>
      <color rgb="FF0B254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9CA3AF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D1D5D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2937"/>
      <name val="Arial"/>
      <family val="0"/>
      <charset val="1"/>
    </font>
    <font>
      <b val="true"/>
      <sz val="10"/>
      <color rgb="FFD1495B"/>
      <name val="Arial"/>
      <family val="0"/>
      <charset val="1"/>
    </font>
    <font>
      <b val="true"/>
      <i val="true"/>
      <sz val="10"/>
      <color rgb="FFD1495B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F2937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1F2937"/>
      </patternFill>
    </fill>
    <fill>
      <patternFill patternType="solid">
        <fgColor rgb="FF0E7C7B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3B0"/>
        <bgColor rgb="FFFFEB9C"/>
      </patternFill>
    </fill>
    <fill>
      <patternFill patternType="solid">
        <fgColor rgb="FFE3E8EE"/>
        <bgColor rgb="FFD5DB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/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7F6000"/>
      <rgbColor rgb="FF800080"/>
      <rgbColor rgb="FF0E7C7B"/>
      <rgbColor rgb="FFD9D9D9"/>
      <rgbColor rgb="FF878787"/>
      <rgbColor rgb="FF9999FF"/>
      <rgbColor rgb="FFD1495B"/>
      <rgbColor rgb="FFF4F6F8"/>
      <rgbColor rgb="FFE3E8EE"/>
      <rgbColor rgb="FF660066"/>
      <rgbColor rgb="FFFF8080"/>
      <rgbColor rgb="FF0563C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BE3"/>
      <rgbColor rgb="FFC6EFCE"/>
      <rgbColor rgb="FFFFF3B0"/>
      <rgbColor rgb="FF99CCFF"/>
      <rgbColor rgb="FFFF99CC"/>
      <rgbColor rgb="FFCC99FF"/>
      <rgbColor rgb="FFFFC7CE"/>
      <rgbColor rgb="FF3366FF"/>
      <rgbColor rgb="FF33CCCC"/>
      <rgbColor rgb="FF99CC00"/>
      <rgbColor rgb="FFE9B949"/>
      <rgbColor rgb="FFFF9900"/>
      <rgbColor rgb="FFFF6600"/>
      <rgbColor rgb="FF6B7280"/>
      <rgbColor rgb="FF9CA3AF"/>
      <rgbColor rgb="FF0B2545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visits (bars) and average wait in minutes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Dashboard!C53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Dashboard!$B$54:$B$62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Dashboard!$C$54:$C$62</c:f>
              <c:numCache>
                <c:formatCode>0</c:formatCode>
                <c:ptCount val="9"/>
                <c:pt idx="0">
                  <c:v>14</c:v>
                </c:pt>
                <c:pt idx="1">
                  <c:v>17</c:v>
                </c:pt>
                <c:pt idx="2">
                  <c:v>22</c:v>
                </c:pt>
                <c:pt idx="3">
                  <c:v>15</c:v>
                </c:pt>
                <c:pt idx="4">
                  <c:v>26</c:v>
                </c:pt>
                <c:pt idx="5">
                  <c:v>18</c:v>
                </c:pt>
                <c:pt idx="6">
                  <c:v>21</c:v>
                </c:pt>
                <c:pt idx="7">
                  <c:v>25</c:v>
                </c:pt>
                <c:pt idx="8">
                  <c:v>22</c:v>
                </c:pt>
              </c:numCache>
            </c:numRef>
          </c:val>
        </c:ser>
        <c:gapWidth val="150"/>
        <c:overlap val="0"/>
        <c:axId val="76009464"/>
        <c:axId val="75312959"/>
      </c:barChart>
      <c:lineChart>
        <c:grouping val="standard"/>
        <c:varyColors val="0"/>
        <c:ser>
          <c:idx val="1"/>
          <c:order val="1"/>
          <c:tx>
            <c:strRef>
              <c:f>Dashboard!D53</c:f>
              <c:strCache>
                <c:ptCount val="1"/>
                <c:pt idx="0">
                  <c:v>Avg Wait (min)</c:v>
                </c:pt>
              </c:strCache>
            </c:strRef>
          </c:tx>
          <c:spPr>
            <a:solidFill>
              <a:srgbClr val="d1495b"/>
            </a:solidFill>
            <a:ln w="28080">
              <a:solidFill>
                <a:srgbClr val="d1495b"/>
              </a:solidFill>
              <a:round/>
            </a:ln>
          </c:spPr>
          <c:marker>
            <c:symbol val="circle"/>
            <c:size val="5"/>
            <c:spPr>
              <a:solidFill>
                <a:srgbClr val="d149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Dashboard!$B$54:$B$62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Dashboard!$D$54:$D$62</c:f>
              <c:numCache>
                <c:formatCode>0.0</c:formatCode>
                <c:ptCount val="9"/>
                <c:pt idx="0">
                  <c:v>45.5714285714286</c:v>
                </c:pt>
                <c:pt idx="1">
                  <c:v>40.3529411764706</c:v>
                </c:pt>
                <c:pt idx="2">
                  <c:v>45.2727272727273</c:v>
                </c:pt>
                <c:pt idx="3">
                  <c:v>59.6</c:v>
                </c:pt>
                <c:pt idx="4">
                  <c:v>55.2692307692308</c:v>
                </c:pt>
                <c:pt idx="5">
                  <c:v>56</c:v>
                </c:pt>
                <c:pt idx="6">
                  <c:v>44.5238095238095</c:v>
                </c:pt>
                <c:pt idx="7">
                  <c:v>44.44</c:v>
                </c:pt>
                <c:pt idx="8">
                  <c:v>43.4545454545455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1065649"/>
        <c:axId val="57994938"/>
      </c:lineChart>
      <c:catAx>
        <c:axId val="7600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12959"/>
        <c:crosses val="autoZero"/>
        <c:auto val="1"/>
        <c:lblAlgn val="ctr"/>
        <c:lblOffset val="100"/>
        <c:noMultiLvlLbl val="0"/>
      </c:catAx>
      <c:valAx>
        <c:axId val="7531295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09464"/>
        <c:crosses val="autoZero"/>
        <c:crossBetween val="between"/>
      </c:valAx>
      <c:catAx>
        <c:axId val="2106564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94938"/>
        <c:crosses val="autoZero"/>
        <c:auto val="1"/>
        <c:lblAlgn val="ctr"/>
        <c:lblOffset val="100"/>
        <c:noMultiLvlLbl val="0"/>
      </c:catAx>
      <c:valAx>
        <c:axId val="57994938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6564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Satisfaction falls as waiting rises (wait band, 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Dashboard!I53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Dashboard!$G$54:$G$57</c:f>
              <c:strCache>
                <c:ptCount val="4"/>
                <c:pt idx="0">
                  <c:v>Up to 30</c:v>
                </c:pt>
                <c:pt idx="1">
                  <c:v>31–60</c:v>
                </c:pt>
                <c:pt idx="2">
                  <c:v>61–90</c:v>
                </c:pt>
                <c:pt idx="3">
                  <c:v>Over 90</c:v>
                </c:pt>
              </c:strCache>
            </c:strRef>
          </c:cat>
          <c:val>
            <c:numRef>
              <c:f>Dashboard!$I$54:$I$57</c:f>
              <c:numCache>
                <c:formatCode>0.00</c:formatCode>
                <c:ptCount val="4"/>
                <c:pt idx="0">
                  <c:v>4.80487804878049</c:v>
                </c:pt>
                <c:pt idx="1">
                  <c:v>4.38888888888889</c:v>
                </c:pt>
                <c:pt idx="2">
                  <c:v>3.90697674418605</c:v>
                </c:pt>
                <c:pt idx="3">
                  <c:v>3.5</c:v>
                </c:pt>
              </c:numCache>
            </c:numRef>
          </c:val>
        </c:ser>
        <c:gapWidth val="150"/>
        <c:overlap val="0"/>
        <c:axId val="32373933"/>
        <c:axId val="7310413"/>
      </c:barChart>
      <c:catAx>
        <c:axId val="323739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0413"/>
        <c:crosses val="autoZero"/>
        <c:auto val="1"/>
        <c:lblAlgn val="ctr"/>
        <c:lblOffset val="100"/>
        <c:noMultiLvlLbl val="0"/>
      </c:catAx>
      <c:valAx>
        <c:axId val="7310413"/>
        <c:scaling>
          <c:orientation val="minMax"/>
          <c:max val="5"/>
          <c:min val="3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73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wait by department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Dashboard!D64</c:f>
              <c:strCache>
                <c:ptCount val="1"/>
                <c:pt idx="0">
                  <c:v>Avg Wait (min)</c:v>
                </c:pt>
              </c:strCache>
            </c:strRef>
          </c:tx>
          <c:spPr>
            <a:solidFill>
              <a:srgbClr val="0b25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Dashboard!$B$65:$B$70</c:f>
              <c:strCache>
                <c:ptCount val="6"/>
                <c:pt idx="0">
                  <c:v>Emergency</c:v>
                </c:pt>
                <c:pt idx="1">
                  <c:v>General Medicine</c:v>
                </c:pt>
                <c:pt idx="2">
                  <c:v>Maternal Health</c:v>
                </c:pt>
                <c:pt idx="3">
                  <c:v>Outpatient</c:v>
                </c:pt>
                <c:pt idx="4">
                  <c:v>Pediatrics</c:v>
                </c:pt>
                <c:pt idx="5">
                  <c:v>Surgery</c:v>
                </c:pt>
              </c:strCache>
            </c:strRef>
          </c:cat>
          <c:val>
            <c:numRef>
              <c:f>Dashboard!$D$65:$D$70</c:f>
              <c:numCache>
                <c:formatCode>0.0</c:formatCode>
                <c:ptCount val="6"/>
                <c:pt idx="0">
                  <c:v>74.962962962963</c:v>
                </c:pt>
                <c:pt idx="1">
                  <c:v>46.7317073170732</c:v>
                </c:pt>
                <c:pt idx="2">
                  <c:v>49</c:v>
                </c:pt>
                <c:pt idx="3">
                  <c:v>34.8292682926829</c:v>
                </c:pt>
                <c:pt idx="4">
                  <c:v>37.1</c:v>
                </c:pt>
                <c:pt idx="5">
                  <c:v>60.4</c:v>
                </c:pt>
              </c:numCache>
            </c:numRef>
          </c:val>
        </c:ser>
        <c:gapWidth val="150"/>
        <c:overlap val="0"/>
        <c:axId val="82129641"/>
        <c:axId val="34623248"/>
      </c:barChart>
      <c:catAx>
        <c:axId val="82129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23248"/>
        <c:crosses val="autoZero"/>
        <c:auto val="1"/>
        <c:lblAlgn val="ctr"/>
        <c:lblOffset val="100"/>
        <c:noMultiLvlLbl val="0"/>
      </c:catAx>
      <c:valAx>
        <c:axId val="346232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29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Follow-up completion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Dashboard!I64</c:f>
              <c:strCache>
                <c:ptCount val="1"/>
                <c:pt idx="0">
                  <c:v>Follow-up Completion</c:v>
                </c:pt>
              </c:strCache>
            </c:strRef>
          </c:tx>
          <c:spPr>
            <a:solidFill>
              <a:srgbClr val="e9b9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Dashboard!$G$65:$G$69</c:f>
              <c:strCache>
                <c:ptCount val="5"/>
                <c:pt idx="0">
                  <c:v>Abuja</c:v>
                </c:pt>
                <c:pt idx="1">
                  <c:v>Gwarinpa</c:v>
                </c:pt>
                <c:pt idx="2">
                  <c:v>Kubwa</c:v>
                </c:pt>
                <c:pt idx="3">
                  <c:v>Kuje</c:v>
                </c:pt>
                <c:pt idx="4">
                  <c:v>Nyanya</c:v>
                </c:pt>
              </c:strCache>
            </c:strRef>
          </c:cat>
          <c:val>
            <c:numRef>
              <c:f>Dashboard!$I$65:$I$69</c:f>
              <c:numCache>
                <c:formatCode>0%</c:formatCode>
                <c:ptCount val="5"/>
                <c:pt idx="0">
                  <c:v>0.826086956521739</c:v>
                </c:pt>
                <c:pt idx="1">
                  <c:v>0.666666666666667</c:v>
                </c:pt>
                <c:pt idx="2">
                  <c:v>0.782608695652174</c:v>
                </c:pt>
                <c:pt idx="3">
                  <c:v>0.666666666666667</c:v>
                </c:pt>
                <c:pt idx="4">
                  <c:v>0.782608695652174</c:v>
                </c:pt>
              </c:numCache>
            </c:numRef>
          </c:val>
        </c:ser>
        <c:gapWidth val="150"/>
        <c:overlap val="0"/>
        <c:axId val="73509195"/>
        <c:axId val="17891905"/>
      </c:barChart>
      <c:catAx>
        <c:axId val="73509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91905"/>
        <c:crosses val="autoZero"/>
        <c:auto val="1"/>
        <c:lblAlgn val="ctr"/>
        <c:lblOffset val="100"/>
        <c:noMultiLvlLbl val="0"/>
      </c:catAx>
      <c:valAx>
        <c:axId val="17891905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09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969480</xdr:colOff>
      <xdr:row>23</xdr:row>
      <xdr:rowOff>115200</xdr:rowOff>
    </xdr:to>
    <xdr:graphicFrame>
      <xdr:nvGraphicFramePr>
        <xdr:cNvPr id="0" name="Chart 1"/>
        <xdr:cNvGraphicFramePr/>
      </xdr:nvGraphicFramePr>
      <xdr:xfrm>
        <a:off x="281880" y="245736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969840</xdr:colOff>
      <xdr:row>23</xdr:row>
      <xdr:rowOff>115200</xdr:rowOff>
    </xdr:to>
    <xdr:graphicFrame>
      <xdr:nvGraphicFramePr>
        <xdr:cNvPr id="1" name="Chart 2"/>
        <xdr:cNvGraphicFramePr/>
      </xdr:nvGraphicFramePr>
      <xdr:xfrm>
        <a:off x="6202800" y="245736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969480</xdr:colOff>
      <xdr:row>39</xdr:row>
      <xdr:rowOff>115200</xdr:rowOff>
    </xdr:to>
    <xdr:graphicFrame>
      <xdr:nvGraphicFramePr>
        <xdr:cNvPr id="2" name="Chart 3"/>
        <xdr:cNvGraphicFramePr/>
      </xdr:nvGraphicFramePr>
      <xdr:xfrm>
        <a:off x="281880" y="550548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969840</xdr:colOff>
      <xdr:row>39</xdr:row>
      <xdr:rowOff>115200</xdr:rowOff>
    </xdr:to>
    <xdr:graphicFrame>
      <xdr:nvGraphicFramePr>
        <xdr:cNvPr id="3" name="Chart 4"/>
        <xdr:cNvGraphicFramePr/>
      </xdr:nvGraphicFramePr>
      <xdr:xfrm>
        <a:off x="6202800" y="5505480"/>
        <a:ext cx="5903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ealth.xlsx" TargetMode="External"/><Relationship Id="rId2" Type="http://schemas.openxmlformats.org/officeDocument/2006/relationships/hyperlink" Target="health.xlsx" TargetMode="External"/><Relationship Id="rId3" Type="http://schemas.openxmlformats.org/officeDocument/2006/relationships/hyperlink" Target="health.xlsx" TargetMode="External"/><Relationship Id="rId4" Type="http://schemas.openxmlformats.org/officeDocument/2006/relationships/hyperlink" Target="health.xlsx" TargetMode="External"/><Relationship Id="rId5" Type="http://schemas.openxmlformats.org/officeDocument/2006/relationships/hyperlink" Target="health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tru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6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37.5" hidden="false" customHeight="true" outlineLevel="0" collapsed="false">
      <c r="B7" s="5" t="n">
        <f aca="false">COUNTA('Patient Data'!$A$2:$A$181)</f>
        <v>180</v>
      </c>
      <c r="C7" s="6" t="n">
        <f aca="false">AVERAGE('Patient Data'!$J$2:$J$181)</f>
        <v>48.1166666666667</v>
      </c>
      <c r="D7" s="7" t="n">
        <f aca="false">AVERAGE('Patient Data'!$L$2:$L$181)</f>
        <v>88563.3222222222</v>
      </c>
      <c r="E7" s="8" t="n">
        <f aca="false">AVERAGE('Patient Data'!$O$2:$O$181)</f>
        <v>4.33888888888889</v>
      </c>
      <c r="F7" s="9" t="n">
        <f aca="false">SUM('Patient Data'!$V$2:$V$181)/SUM('Patient Data'!$U$2:$U$181)</f>
        <v>0.75</v>
      </c>
    </row>
    <row r="9" customFormat="false" ht="15" hidden="false" customHeight="false" outlineLevel="0" collapsed="false">
      <c r="B9" s="10" t="s">
        <v>8</v>
      </c>
      <c r="C9" s="10"/>
      <c r="D9" s="10"/>
      <c r="E9" s="10"/>
      <c r="F9" s="10"/>
    </row>
    <row r="10" customFormat="false" ht="33.75" hidden="false" customHeight="true" outlineLevel="0" collapsed="false">
      <c r="B10" s="11" t="s">
        <v>9</v>
      </c>
      <c r="C10" s="11"/>
      <c r="D10" s="11"/>
      <c r="E10" s="11"/>
      <c r="F10" s="11"/>
    </row>
    <row r="12" customFormat="false" ht="15" hidden="false" customHeight="false" outlineLevel="0" collapsed="false">
      <c r="B12" s="10" t="s">
        <v>10</v>
      </c>
      <c r="C12" s="10"/>
      <c r="D12" s="10"/>
      <c r="E12" s="10"/>
      <c r="F12" s="10"/>
    </row>
    <row r="13" customFormat="false" ht="31.5" hidden="false" customHeight="true" outlineLevel="0" collapsed="false">
      <c r="B13" s="12" t="str">
        <f aca="false">"1. Waiting hurts: the correlation between waiting time and satisfaction is "&amp;TEXT(Insights!D22,"0.00")&amp;", and each extra 10 minutes goes with "&amp;TEXT(ABS(Insights!D23),"0.00")&amp;" points lower satisfaction."</f>
        <v>1. Waiting hurts: the correlation between waiting time and satisfaction is -0.62, and each extra 10 minutes goes with 0.19 points lower satisfaction.</v>
      </c>
      <c r="C13" s="12"/>
      <c r="D13" s="12"/>
      <c r="E13" s="12"/>
      <c r="F13" s="12"/>
    </row>
    <row r="14" customFormat="false" ht="31.5" hidden="false" customHeight="true" outlineLevel="0" collapsed="false">
      <c r="B14" s="12" t="str">
        <f aca="false">"2. Satisfaction falls from "&amp;TEXT(Insights!E18,"0.0")&amp;" for waits up to 30 minutes to "&amp;TEXT(Insights!E21,"0.0")&amp;" for waits over 90 minutes."</f>
        <v>2. Satisfaction falls from 4.8 for waits up to 30 minutes to 3.5 for waits over 90 minutes.</v>
      </c>
      <c r="C14" s="12"/>
      <c r="D14" s="12"/>
      <c r="E14" s="12"/>
      <c r="F14" s="12"/>
    </row>
    <row r="15" customFormat="false" ht="31.5" hidden="false" customHeight="true" outlineLevel="0" collapsed="false">
      <c r="B15" s="12" t="str">
        <f aca="false">"3. Hotspot: "&amp;INDEX(Insights!B7:B12,MATCH(MAX(Insights!D7:D12),Insights!D7:D12,0))&amp;" waits longest ("&amp;TEXT(MAX(Insights!D7:D12),"0")&amp;" min on average), and "&amp;TEXT(INDEX(Insights!E7:E12,MATCH(MAX(Insights!D7:D12),Insights!D7:D12,0)),"0%")&amp;" of its visits exceed the "&amp;'Scenario Lab'!C5&amp;"-minute limit."</f>
        <v>3. Hotspot: Emergency waits longest (75 min on average), and 81% of its visits exceed the 60-minute limit.</v>
      </c>
      <c r="C15" s="12"/>
      <c r="D15" s="12"/>
      <c r="E15" s="12"/>
      <c r="F15" s="12"/>
    </row>
    <row r="16" customFormat="false" ht="31.5" hidden="false" customHeight="true" outlineLevel="0" collapsed="false">
      <c r="B16" s="12" t="str">
        <f aca="false">"4. Follow-up gap: completion is "&amp;TEXT(Insights!I13,"0%")&amp;" overall, lowest in "&amp;INDEX(Insights!B7:B12,MATCH(MIN(Insights!I7:I12),Insights!I7:I12,0))&amp;" ("&amp;TEXT(MIN(Insights!I7:I12),"0%")&amp;") and in "&amp;INDEX(Insights!B27:B31,MATCH(MIN(Insights!F27:F31),Insights!F27:F31,0))&amp;" ("&amp;TEXT(MIN(Insights!F27:F31),"0%")&amp;")."</f>
        <v>4. Follow-up gap: completion is 75% overall, lowest in General Medicine (61%) and in Gwarinpa (67%).</v>
      </c>
      <c r="C16" s="12"/>
      <c r="D16" s="12"/>
      <c r="E16" s="12"/>
      <c r="F16" s="12"/>
    </row>
    <row r="17" customFormat="false" ht="31.5" hidden="false" customHeight="true" outlineLevel="0" collapsed="false">
      <c r="B17" s="12" t="str">
        <f aca="false">"5. Cost: "&amp;INDEX(Insights!B7:B12,MATCH(MAX(Insights!G7:G12),Insights!G7:G12,0))&amp;" averages ₦"&amp;TEXT(MAX(Insights!G7:G12)/1000,"#,##0")&amp;"K per visit, "&amp;TEXT(MAX(Insights!G7:G12)/MIN(Insights!G7:G12),"0.0")&amp;"x the cheapest department."</f>
        <v>5. Cost: Surgery averages ₦221K per visit, 4.5x the cheapest department.</v>
      </c>
      <c r="C17" s="12"/>
      <c r="D17" s="12"/>
      <c r="E17" s="12"/>
      <c r="F17" s="12"/>
    </row>
    <row r="18" customFormat="false" ht="31.5" hidden="false" customHeight="true" outlineLevel="0" collapsed="false">
      <c r="B18" s="12" t="str">
        <f aca="false">"6. Scorecard: "&amp;COUNTIF(Insights!J7:J12,"RED")&amp;" department(s) RED, "&amp;COUNTIF(Insights!J7:J12,"AMBER")&amp;" AMBER and "&amp;COUNTIF(Insights!J7:J12,"GREEN")&amp;" GREEN against the targets in the Scenario Lab."</f>
        <v>6. Scorecard: 3 department(s) RED, 1 AMBER and 2 GREEN against the targets in the Scenario Lab.</v>
      </c>
      <c r="C18" s="12"/>
      <c r="D18" s="12"/>
      <c r="E18" s="12"/>
      <c r="F18" s="12"/>
    </row>
    <row r="20" customFormat="false" ht="15" hidden="false" customHeight="false" outlineLevel="0" collapsed="false">
      <c r="B20" s="10" t="s">
        <v>11</v>
      </c>
      <c r="C20" s="10"/>
      <c r="D20" s="10"/>
      <c r="E20" s="10"/>
      <c r="F20" s="10"/>
    </row>
    <row r="21" customFormat="false" ht="33.75" hidden="false" customHeight="true" outlineLevel="0" collapsed="false">
      <c r="B21" s="13" t="s">
        <v>12</v>
      </c>
      <c r="C21" s="14" t="str">
        <f aca="false">"Remove "&amp;TEXT('Scenario Lab'!C6,"0%")&amp;" of waiting above "&amp;'Scenario Lab'!C5&amp;" min: average wait falls "&amp;TEXT('Scenario Lab'!C15,"0.0")&amp;" min and satisfaction is predicted to rise about "&amp;TEXT('Scenario Lab'!C20,"0.00")&amp;" points (association-based estimate)."</f>
        <v>Remove 50% of waiting above 60 min: average wait falls 2.0 min and satisfaction is predicted to rise about 0.04 points (association-based estimate).</v>
      </c>
      <c r="D21" s="14"/>
      <c r="E21" s="14"/>
      <c r="F21" s="14"/>
    </row>
    <row r="22" customFormat="false" ht="33.75" hidden="false" customHeight="true" outlineLevel="0" collapsed="false">
      <c r="B22" s="13" t="s">
        <v>13</v>
      </c>
      <c r="C22" s="14" t="str">
        <f aca="false">"Reaching "&amp;TEXT('Scenario Lab'!C7,"0%")&amp;" completion needs "&amp;'Scenario Lab'!F31&amp;" more completed follow-ups. Start with reminders and scheduling in the lowest departments and locations."</f>
        <v>Reaching 75% completion needs 6 more completed follow-ups. Start with reminders and scheduling in the lowest departments and locations.</v>
      </c>
      <c r="D22" s="14"/>
      <c r="E22" s="14"/>
      <c r="F22" s="14"/>
    </row>
    <row r="23" customFormat="false" ht="33.75" hidden="false" customHeight="true" outlineLevel="0" collapsed="false">
      <c r="B23" s="13" t="s">
        <v>14</v>
      </c>
      <c r="C23" s="14" t="str">
        <f aca="false">"Review the "&amp;COUNTIF('Patient Data'!$W$2:$W$181,"Review")&amp;" flagged records, then track wait, satisfaction and follow-up completion each month against the targets."</f>
        <v>Review the 14 flagged records, then track wait, satisfaction and follow-up completion each month against the targets.</v>
      </c>
      <c r="D23" s="14"/>
      <c r="E23" s="14"/>
      <c r="F23" s="14"/>
    </row>
    <row r="25" customFormat="false" ht="15" hidden="false" customHeight="false" outlineLevel="0" collapsed="false">
      <c r="B25" s="10" t="s">
        <v>15</v>
      </c>
      <c r="C25" s="10"/>
      <c r="D25" s="10"/>
      <c r="E25" s="10"/>
      <c r="F25" s="10"/>
    </row>
    <row r="26" customFormat="false" ht="15" hidden="false" customHeight="false" outlineLevel="0" collapsed="false">
      <c r="B26" s="15" t="s">
        <v>16</v>
      </c>
      <c r="C26" s="16" t="s">
        <v>17</v>
      </c>
      <c r="D26" s="16"/>
      <c r="E26" s="16"/>
      <c r="F26" s="16"/>
    </row>
    <row r="27" customFormat="false" ht="15" hidden="false" customHeight="false" outlineLevel="0" collapsed="false">
      <c r="B27" s="15" t="s">
        <v>18</v>
      </c>
      <c r="C27" s="16" t="s">
        <v>19</v>
      </c>
      <c r="D27" s="16"/>
      <c r="E27" s="16"/>
      <c r="F27" s="16"/>
    </row>
    <row r="28" customFormat="false" ht="15" hidden="false" customHeight="false" outlineLevel="0" collapsed="false">
      <c r="B28" s="15" t="s">
        <v>20</v>
      </c>
      <c r="C28" s="16" t="s">
        <v>21</v>
      </c>
      <c r="D28" s="16"/>
      <c r="E28" s="16"/>
      <c r="F28" s="16"/>
    </row>
    <row r="29" customFormat="false" ht="15" hidden="false" customHeight="false" outlineLevel="0" collapsed="false">
      <c r="B29" s="15" t="s">
        <v>22</v>
      </c>
      <c r="C29" s="16" t="s">
        <v>23</v>
      </c>
      <c r="D29" s="16"/>
      <c r="E29" s="16"/>
      <c r="F29" s="16"/>
    </row>
    <row r="30" customFormat="false" ht="15" hidden="false" customHeight="false" outlineLevel="0" collapsed="false">
      <c r="B30" s="15" t="s">
        <v>24</v>
      </c>
      <c r="C30" s="16" t="s">
        <v>25</v>
      </c>
      <c r="D30" s="16"/>
      <c r="E30" s="16"/>
      <c r="F30" s="16"/>
    </row>
    <row r="31" customFormat="false" ht="30" hidden="false" customHeight="true" outlineLevel="0" collapsed="false">
      <c r="B31" s="17" t="s">
        <v>26</v>
      </c>
      <c r="C31" s="17"/>
      <c r="D31" s="17"/>
      <c r="E31" s="17"/>
      <c r="F31" s="17"/>
    </row>
  </sheetData>
  <mergeCells count="23">
    <mergeCell ref="B2:F2"/>
    <mergeCell ref="B3:F3"/>
    <mergeCell ref="B4:F4"/>
    <mergeCell ref="B9:F9"/>
    <mergeCell ref="B10:F10"/>
    <mergeCell ref="B12:F12"/>
    <mergeCell ref="B13:F13"/>
    <mergeCell ref="B14:F14"/>
    <mergeCell ref="B15:F15"/>
    <mergeCell ref="B16:F16"/>
    <mergeCell ref="B17:F17"/>
    <mergeCell ref="B18:F18"/>
    <mergeCell ref="B20:F20"/>
    <mergeCell ref="C21:F21"/>
    <mergeCell ref="C22:F22"/>
    <mergeCell ref="C23:F23"/>
    <mergeCell ref="B25:F25"/>
    <mergeCell ref="C26:F26"/>
    <mergeCell ref="C27:F27"/>
    <mergeCell ref="C28:F28"/>
    <mergeCell ref="C29:F29"/>
    <mergeCell ref="C30:F30"/>
    <mergeCell ref="B31:F31"/>
  </mergeCells>
  <hyperlinks>
    <hyperlink ref="B26" r:id="rId1" location="'Dashboard'!A1" display="Dashboard"/>
    <hyperlink ref="B27" r:id="rId2" location="'Insights'!A1" display="Insights"/>
    <hyperlink ref="B28" r:id="rId3" location="'Scenario%20Lab'!A1" display="Scenario Lab"/>
    <hyperlink ref="B29" r:id="rId4" location="'Patient%20Data'!A1" display="Patient Data"/>
    <hyperlink ref="B30" r:id="rId5" location="'Quality%20&amp;%20Method'!A1" display="Quality &amp; Metho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2:Q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3" min="2" style="0" width="14"/>
    <col collapsed="false" customWidth="true" hidden="true" outlineLevel="0" max="17" min="16" style="0" width="13"/>
  </cols>
  <sheetData>
    <row r="2" customFormat="false" ht="39.75" hidden="false" customHeight="true" outlineLevel="0" collapsed="false">
      <c r="B2" s="18" t="s">
        <v>27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15" hidden="false" customHeight="false" outlineLevel="0" collapsed="false"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15" hidden="false" customHeight="false" outlineLevel="0" collapsed="false">
      <c r="B5" s="19" t="s">
        <v>29</v>
      </c>
      <c r="C5" s="20" t="s">
        <v>30</v>
      </c>
      <c r="E5" s="19" t="s">
        <v>31</v>
      </c>
      <c r="F5" s="20" t="s">
        <v>30</v>
      </c>
      <c r="H5" s="19" t="s">
        <v>32</v>
      </c>
      <c r="I5" s="20" t="s">
        <v>30</v>
      </c>
      <c r="Q5" s="21" t="str">
        <f aca="false">IF($C$5="All","*",$C$5)</f>
        <v>*</v>
      </c>
    </row>
    <row r="6" customFormat="false" ht="15" hidden="false" customHeight="false" outlineLevel="0" collapsed="false">
      <c r="Q6" s="21" t="str">
        <f aca="false">IF($F$5="All","*",$F$5)</f>
        <v>*</v>
      </c>
    </row>
    <row r="7" customFormat="false" ht="15" hidden="false" customHeight="false" outlineLevel="0" collapsed="false">
      <c r="B7" s="22" t="s">
        <v>3</v>
      </c>
      <c r="C7" s="22"/>
      <c r="D7" s="22" t="s">
        <v>4</v>
      </c>
      <c r="E7" s="22"/>
      <c r="F7" s="22" t="s">
        <v>5</v>
      </c>
      <c r="G7" s="22"/>
      <c r="H7" s="22" t="s">
        <v>6</v>
      </c>
      <c r="I7" s="22"/>
      <c r="J7" s="22" t="s">
        <v>7</v>
      </c>
      <c r="K7" s="22"/>
      <c r="L7" s="22" t="s">
        <v>33</v>
      </c>
      <c r="M7" s="22"/>
      <c r="Q7" s="21" t="str">
        <f aca="false">IF($I$5="All","*",$I$5)</f>
        <v>*</v>
      </c>
    </row>
    <row r="8" customFormat="false" ht="33.75" hidden="false" customHeight="true" outlineLevel="0" collapsed="false">
      <c r="B8" s="23" t="n">
        <f aca="false">COUNTIFS('Patient Data'!$G$2:$G$181,$Q$5,'Patient Data'!$F$2:$F$181,$Q$6,'Patient Data'!$H$2:$H$181,$Q$7)</f>
        <v>180</v>
      </c>
      <c r="C8" s="23"/>
      <c r="D8" s="24" t="n">
        <f aca="false">IFERROR(AVERAGEIFS('Patient Data'!$J$2:$J$181,'Patient Data'!$G$2:$G$181,$Q$5,'Patient Data'!$F$2:$F$181,$Q$6,'Patient Data'!$H$2:$H$181,$Q$7),0)</f>
        <v>48.1166666666667</v>
      </c>
      <c r="E8" s="24"/>
      <c r="F8" s="25" t="n">
        <f aca="false">IFERROR(AVERAGEIFS('Patient Data'!$L$2:$L$181,'Patient Data'!$G$2:$G$181,$Q$5,'Patient Data'!$F$2:$F$181,$Q$6,'Patient Data'!$H$2:$H$181,$Q$7),0)</f>
        <v>88563.3222222222</v>
      </c>
      <c r="G8" s="25"/>
      <c r="H8" s="26" t="n">
        <f aca="false">IFERROR(AVERAGEIFS('Patient Data'!$O$2:$O$181,'Patient Data'!$G$2:$G$181,$Q$5,'Patient Data'!$F$2:$F$181,$Q$6,'Patient Data'!$H$2:$H$181,$Q$7),0)</f>
        <v>4.33888888888889</v>
      </c>
      <c r="I8" s="26"/>
      <c r="J8" s="27" t="n">
        <f aca="false">IFERROR(SUMIFS('Patient Data'!$V$2:$V$181,'Patient Data'!$G$2:$G$181,$Q$5,'Patient Data'!$F$2:$F$181,$Q$6,'Patient Data'!$H$2:$H$181,$Q$7)/SUMIFS('Patient Data'!$U$2:$U$181,'Patient Data'!$G$2:$G$181,$Q$5,'Patient Data'!$F$2:$F$181,$Q$6,'Patient Data'!$H$2:$H$181,$Q$7),0)</f>
        <v>0.75</v>
      </c>
      <c r="K8" s="27"/>
      <c r="L8" s="27" t="n">
        <f aca="false">IF(B8=0,0,SUMIFS('Patient Data'!$T$2:$T$181,'Patient Data'!$G$2:$G$181,$Q$5,'Patient Data'!$F$2:$F$181,$Q$6,'Patient Data'!$H$2:$H$181,$Q$7)/B8)</f>
        <v>0.272222222222222</v>
      </c>
      <c r="M8" s="27"/>
    </row>
    <row r="9" customFormat="false" ht="15" hidden="false" customHeight="false" outlineLevel="0" collapsed="false">
      <c r="B9" s="28" t="str">
        <f aca="false">"Share of all visits: "&amp;TEXT(B8/COUNTA('Patient Data'!$A$2:$A$181),"0%")</f>
        <v>Share of all visits: 100%</v>
      </c>
      <c r="C9" s="28"/>
      <c r="D9" s="28" t="str">
        <f aca="false">"Overall: "&amp;TEXT(AVERAGE('Patient Data'!$J$2:$J$181),"0.0")&amp;" min"</f>
        <v>Overall: 48.1 min</v>
      </c>
      <c r="E9" s="28"/>
      <c r="F9" s="28" t="str">
        <f aca="false">"Overall: ₦"&amp;TEXT(AVERAGE('Patient Data'!$L$2:$L$181),"#,##0")</f>
        <v>Overall: ₦88,563</v>
      </c>
      <c r="G9" s="28"/>
      <c r="H9" s="28" t="str">
        <f aca="false">"Overall: "&amp;TEXT(AVERAGE('Patient Data'!$O$2:$O$181),"0.00")&amp;" / 5"</f>
        <v>Overall: 4.34 / 5</v>
      </c>
      <c r="I9" s="28"/>
      <c r="J9" s="28" t="str">
        <f aca="false">"Overall: "&amp;TEXT(SUM('Patient Data'!$V$2:$V$181)/SUM('Patient Data'!$U$2:$U$181),"0%")</f>
        <v>Overall: 75%</v>
      </c>
      <c r="K9" s="28"/>
      <c r="L9" s="28" t="str">
        <f aca="false">"Limit: "&amp;'Scenario Lab'!$C$5&amp;" min · overall "&amp;TEXT(SUM('Patient Data'!$T$2:$T$181)/COUNTA('Patient Data'!$A$2:$A$181),"0%")</f>
        <v>Limit: 60 min · overall 27%</v>
      </c>
      <c r="M9" s="28"/>
    </row>
    <row r="43" customFormat="false" ht="15" hidden="false" customHeight="false" outlineLevel="0" collapsed="false">
      <c r="B43" s="10" t="s">
        <v>34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customFormat="false" ht="19.5" hidden="false" customHeight="true" outlineLevel="0" collapsed="false">
      <c r="B44" s="12" t="str">
        <f aca="false">IF(SUM(C54:C62)=0,"No visits match this filter.","Rhythm: "&amp;INDEX(B54:B62,MATCH(MAX(C54:C62),C54:C62,0))&amp;" is the busiest month ("&amp;MAX(C54:C62)&amp;" visits) and "&amp;INDEX(B54:B62,MATCH(MAX(D54:D62),D54:D62,0))&amp;" has the longest average wait ("&amp;TEXT(MAX(D54:D62),"0")&amp;" min).")</f>
        <v>Rhythm: May is the busiest month (26 visits) and Apr has the longest average wait (60 min).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customFormat="false" ht="19.5" hidden="false" customHeight="true" outlineLevel="0" collapsed="false">
      <c r="B45" s="12" t="str">
        <f aca="false">IF(SUM(H54:H57)=0,"","Waiting vs satisfaction: patients seen within 30 min rate care "&amp;TEXT(I54,"0.0")&amp;"; at 31–60 min "&amp;TEXT(I55,"0.0")&amp;"; at 61–90 min "&amp;TEXT(I56,"0.0")&amp;"; over 90 min "&amp;TEXT(I57,"0.0")&amp;" (0.0 = no visits in that band).")</f>
        <v>Waiting vs satisfaction: patients seen within 30 min rate care 4.8; at 31–60 min 4.4; at 61–90 min 3.9; over 90 min 3.5 (0.0 = no visits in that band).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customFormat="false" ht="19.5" hidden="false" customHeight="true" outlineLevel="0" collapsed="false">
      <c r="B46" s="12" t="str">
        <f aca="false">IF(SUM(C65:C70)=0,"","Departments: "&amp;INDEX(B65:B70,MATCH(MAX(D65:D70),D65:D70,0))&amp;" has the longest average wait ("&amp;TEXT(MAX(D65:D70),"0")&amp;" min).")</f>
        <v>Departments: Emergency has the longest average wait (75 min).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customFormat="false" ht="19.5" hidden="false" customHeight="true" outlineLevel="0" collapsed="false">
      <c r="B47" s="12" t="str">
        <f aca="false">IF(SUM(H65:H69)=0,"","Follow-up: completion ranges from "&amp;TEXT(SMALL(I65:I69,COUNTIF(H65:H69,0)+1),"0%")&amp;" to "&amp;TEXT(MAX(I65:I69),"0%")&amp;" across locations in this view.")</f>
        <v>Follow-up: completion ranges from 67% to 83% across locations in this view.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52" customFormat="false" ht="15" hidden="false" customHeight="false" outlineLevel="0" collapsed="false">
      <c r="B52" s="10" t="s">
        <v>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customFormat="false" ht="23.85" hidden="false" customHeight="false" outlineLevel="0" collapsed="false">
      <c r="B53" s="29" t="s">
        <v>36</v>
      </c>
      <c r="C53" s="29" t="s">
        <v>37</v>
      </c>
      <c r="D53" s="29" t="s">
        <v>38</v>
      </c>
      <c r="E53" s="29" t="s">
        <v>39</v>
      </c>
      <c r="G53" s="29" t="s">
        <v>40</v>
      </c>
      <c r="H53" s="29" t="s">
        <v>37</v>
      </c>
      <c r="I53" s="29" t="s">
        <v>39</v>
      </c>
      <c r="J53" s="29" t="s">
        <v>41</v>
      </c>
    </row>
    <row r="54" customFormat="false" ht="15" hidden="false" customHeight="false" outlineLevel="0" collapsed="false">
      <c r="A54" s="30" t="n">
        <v>1</v>
      </c>
      <c r="B54" s="31" t="s">
        <v>42</v>
      </c>
      <c r="C54" s="32" t="n">
        <f aca="false">COUNTIFS('Patient Data'!$G$2:$G$181,$Q$5,'Patient Data'!$F$2:$F$181,$Q$6,'Patient Data'!$H$2:$H$181,$Q$7,'Patient Data'!$Q$2:$Q$181,$A54)</f>
        <v>14</v>
      </c>
      <c r="D54" s="33" t="n">
        <f aca="false">IFERROR(AVERAGEIFS('Patient Data'!$J$2:$J$181,'Patient Data'!$G$2:$G$181,$Q$5,'Patient Data'!$F$2:$F$181,$Q$6,'Patient Data'!$H$2:$H$181,$Q$7,'Patient Data'!$Q$2:$Q$181,$A54),0)</f>
        <v>45.5714285714286</v>
      </c>
      <c r="E54" s="34" t="n">
        <f aca="false">IFERROR(AVERAGEIFS('Patient Data'!$O$2:$O$181,'Patient Data'!$G$2:$G$181,$Q$5,'Patient Data'!$F$2:$F$181,$Q$6,'Patient Data'!$H$2:$H$181,$Q$7,'Patient Data'!$Q$2:$Q$181,$A54),0)</f>
        <v>4.07142857142857</v>
      </c>
      <c r="G54" s="31" t="s">
        <v>43</v>
      </c>
      <c r="H54" s="32" t="n">
        <f aca="false">COUNTIFS('Patient Data'!$G$2:$G$181,$Q$5,'Patient Data'!$F$2:$F$181,$Q$6,'Patient Data'!$H$2:$H$181,$Q$7,'Patient Data'!$S$2:$S$181,$G54)</f>
        <v>41</v>
      </c>
      <c r="I54" s="34" t="n">
        <f aca="false">IFERROR(AVERAGEIFS('Patient Data'!$O$2:$O$181,'Patient Data'!$G$2:$G$181,$Q$5,'Patient Data'!$F$2:$F$181,$Q$6,'Patient Data'!$H$2:$H$181,$Q$7,'Patient Data'!$S$2:$S$181,$G54),0)</f>
        <v>4.80487804878049</v>
      </c>
      <c r="J54" s="35" t="n">
        <f aca="false">IF(SUM($H$54:$H$57)=0,0,H54/SUM($H$54:$H$57))</f>
        <v>0.227777777777778</v>
      </c>
    </row>
    <row r="55" customFormat="false" ht="15" hidden="false" customHeight="false" outlineLevel="0" collapsed="false">
      <c r="A55" s="30" t="n">
        <v>2</v>
      </c>
      <c r="B55" s="31" t="s">
        <v>44</v>
      </c>
      <c r="C55" s="32" t="n">
        <f aca="false">COUNTIFS('Patient Data'!$G$2:$G$181,$Q$5,'Patient Data'!$F$2:$F$181,$Q$6,'Patient Data'!$H$2:$H$181,$Q$7,'Patient Data'!$Q$2:$Q$181,$A55)</f>
        <v>17</v>
      </c>
      <c r="D55" s="33" t="n">
        <f aca="false">IFERROR(AVERAGEIFS('Patient Data'!$J$2:$J$181,'Patient Data'!$G$2:$G$181,$Q$5,'Patient Data'!$F$2:$F$181,$Q$6,'Patient Data'!$H$2:$H$181,$Q$7,'Patient Data'!$Q$2:$Q$181,$A55),0)</f>
        <v>40.3529411764706</v>
      </c>
      <c r="E55" s="34" t="n">
        <f aca="false">IFERROR(AVERAGEIFS('Patient Data'!$O$2:$O$181,'Patient Data'!$G$2:$G$181,$Q$5,'Patient Data'!$F$2:$F$181,$Q$6,'Patient Data'!$H$2:$H$181,$Q$7,'Patient Data'!$Q$2:$Q$181,$A55),0)</f>
        <v>4.70588235294118</v>
      </c>
      <c r="G55" s="31" t="s">
        <v>45</v>
      </c>
      <c r="H55" s="32" t="n">
        <f aca="false">COUNTIFS('Patient Data'!$G$2:$G$181,$Q$5,'Patient Data'!$F$2:$F$181,$Q$6,'Patient Data'!$H$2:$H$181,$Q$7,'Patient Data'!$S$2:$S$181,$G55)</f>
        <v>90</v>
      </c>
      <c r="I55" s="34" t="n">
        <f aca="false">IFERROR(AVERAGEIFS('Patient Data'!$O$2:$O$181,'Patient Data'!$G$2:$G$181,$Q$5,'Patient Data'!$F$2:$F$181,$Q$6,'Patient Data'!$H$2:$H$181,$Q$7,'Patient Data'!$S$2:$S$181,$G55),0)</f>
        <v>4.38888888888889</v>
      </c>
      <c r="J55" s="35" t="n">
        <f aca="false">IF(SUM($H$54:$H$57)=0,0,H55/SUM($H$54:$H$57))</f>
        <v>0.5</v>
      </c>
    </row>
    <row r="56" customFormat="false" ht="15" hidden="false" customHeight="false" outlineLevel="0" collapsed="false">
      <c r="A56" s="30" t="n">
        <v>3</v>
      </c>
      <c r="B56" s="31" t="s">
        <v>46</v>
      </c>
      <c r="C56" s="32" t="n">
        <f aca="false">COUNTIFS('Patient Data'!$G$2:$G$181,$Q$5,'Patient Data'!$F$2:$F$181,$Q$6,'Patient Data'!$H$2:$H$181,$Q$7,'Patient Data'!$Q$2:$Q$181,$A56)</f>
        <v>22</v>
      </c>
      <c r="D56" s="33" t="n">
        <f aca="false">IFERROR(AVERAGEIFS('Patient Data'!$J$2:$J$181,'Patient Data'!$G$2:$G$181,$Q$5,'Patient Data'!$F$2:$F$181,$Q$6,'Patient Data'!$H$2:$H$181,$Q$7,'Patient Data'!$Q$2:$Q$181,$A56),0)</f>
        <v>45.2727272727273</v>
      </c>
      <c r="E56" s="34" t="n">
        <f aca="false">IFERROR(AVERAGEIFS('Patient Data'!$O$2:$O$181,'Patient Data'!$G$2:$G$181,$Q$5,'Patient Data'!$F$2:$F$181,$Q$6,'Patient Data'!$H$2:$H$181,$Q$7,'Patient Data'!$Q$2:$Q$181,$A56),0)</f>
        <v>4.31818181818182</v>
      </c>
      <c r="G56" s="31" t="s">
        <v>47</v>
      </c>
      <c r="H56" s="32" t="n">
        <f aca="false">COUNTIFS('Patient Data'!$G$2:$G$181,$Q$5,'Patient Data'!$F$2:$F$181,$Q$6,'Patient Data'!$H$2:$H$181,$Q$7,'Patient Data'!$S$2:$S$181,$G56)</f>
        <v>43</v>
      </c>
      <c r="I56" s="34" t="n">
        <f aca="false">IFERROR(AVERAGEIFS('Patient Data'!$O$2:$O$181,'Patient Data'!$G$2:$G$181,$Q$5,'Patient Data'!$F$2:$F$181,$Q$6,'Patient Data'!$H$2:$H$181,$Q$7,'Patient Data'!$S$2:$S$181,$G56),0)</f>
        <v>3.90697674418605</v>
      </c>
      <c r="J56" s="35" t="n">
        <f aca="false">IF(SUM($H$54:$H$57)=0,0,H56/SUM($H$54:$H$57))</f>
        <v>0.238888888888889</v>
      </c>
    </row>
    <row r="57" customFormat="false" ht="15" hidden="false" customHeight="false" outlineLevel="0" collapsed="false">
      <c r="A57" s="30" t="n">
        <v>4</v>
      </c>
      <c r="B57" s="31" t="s">
        <v>48</v>
      </c>
      <c r="C57" s="32" t="n">
        <f aca="false">COUNTIFS('Patient Data'!$G$2:$G$181,$Q$5,'Patient Data'!$F$2:$F$181,$Q$6,'Patient Data'!$H$2:$H$181,$Q$7,'Patient Data'!$Q$2:$Q$181,$A57)</f>
        <v>15</v>
      </c>
      <c r="D57" s="33" t="n">
        <f aca="false">IFERROR(AVERAGEIFS('Patient Data'!$J$2:$J$181,'Patient Data'!$G$2:$G$181,$Q$5,'Patient Data'!$F$2:$F$181,$Q$6,'Patient Data'!$H$2:$H$181,$Q$7,'Patient Data'!$Q$2:$Q$181,$A57),0)</f>
        <v>59.6</v>
      </c>
      <c r="E57" s="34" t="n">
        <f aca="false">IFERROR(AVERAGEIFS('Patient Data'!$O$2:$O$181,'Patient Data'!$G$2:$G$181,$Q$5,'Patient Data'!$F$2:$F$181,$Q$6,'Patient Data'!$H$2:$H$181,$Q$7,'Patient Data'!$Q$2:$Q$181,$A57),0)</f>
        <v>4</v>
      </c>
      <c r="G57" s="31" t="s">
        <v>49</v>
      </c>
      <c r="H57" s="32" t="n">
        <f aca="false">COUNTIFS('Patient Data'!$G$2:$G$181,$Q$5,'Patient Data'!$F$2:$F$181,$Q$6,'Patient Data'!$H$2:$H$181,$Q$7,'Patient Data'!$S$2:$S$181,$G57)</f>
        <v>6</v>
      </c>
      <c r="I57" s="34" t="n">
        <f aca="false">IFERROR(AVERAGEIFS('Patient Data'!$O$2:$O$181,'Patient Data'!$G$2:$G$181,$Q$5,'Patient Data'!$F$2:$F$181,$Q$6,'Patient Data'!$H$2:$H$181,$Q$7,'Patient Data'!$S$2:$S$181,$G57),0)</f>
        <v>3.5</v>
      </c>
      <c r="J57" s="35" t="n">
        <f aca="false">IF(SUM($H$54:$H$57)=0,0,H57/SUM($H$54:$H$57))</f>
        <v>0.0333333333333333</v>
      </c>
    </row>
    <row r="58" customFormat="false" ht="15" hidden="false" customHeight="false" outlineLevel="0" collapsed="false">
      <c r="A58" s="30" t="n">
        <v>5</v>
      </c>
      <c r="B58" s="31" t="s">
        <v>50</v>
      </c>
      <c r="C58" s="32" t="n">
        <f aca="false">COUNTIFS('Patient Data'!$G$2:$G$181,$Q$5,'Patient Data'!$F$2:$F$181,$Q$6,'Patient Data'!$H$2:$H$181,$Q$7,'Patient Data'!$Q$2:$Q$181,$A58)</f>
        <v>26</v>
      </c>
      <c r="D58" s="33" t="n">
        <f aca="false">IFERROR(AVERAGEIFS('Patient Data'!$J$2:$J$181,'Patient Data'!$G$2:$G$181,$Q$5,'Patient Data'!$F$2:$F$181,$Q$6,'Patient Data'!$H$2:$H$181,$Q$7,'Patient Data'!$Q$2:$Q$181,$A58),0)</f>
        <v>55.2692307692308</v>
      </c>
      <c r="E58" s="34" t="n">
        <f aca="false">IFERROR(AVERAGEIFS('Patient Data'!$O$2:$O$181,'Patient Data'!$G$2:$G$181,$Q$5,'Patient Data'!$F$2:$F$181,$Q$6,'Patient Data'!$H$2:$H$181,$Q$7,'Patient Data'!$Q$2:$Q$181,$A58),0)</f>
        <v>4.30769230769231</v>
      </c>
    </row>
    <row r="59" customFormat="false" ht="15" hidden="false" customHeight="false" outlineLevel="0" collapsed="false">
      <c r="A59" s="30" t="n">
        <v>6</v>
      </c>
      <c r="B59" s="31" t="s">
        <v>51</v>
      </c>
      <c r="C59" s="32" t="n">
        <f aca="false">COUNTIFS('Patient Data'!$G$2:$G$181,$Q$5,'Patient Data'!$F$2:$F$181,$Q$6,'Patient Data'!$H$2:$H$181,$Q$7,'Patient Data'!$Q$2:$Q$181,$A59)</f>
        <v>18</v>
      </c>
      <c r="D59" s="33" t="n">
        <f aca="false">IFERROR(AVERAGEIFS('Patient Data'!$J$2:$J$181,'Patient Data'!$G$2:$G$181,$Q$5,'Patient Data'!$F$2:$F$181,$Q$6,'Patient Data'!$H$2:$H$181,$Q$7,'Patient Data'!$Q$2:$Q$181,$A59),0)</f>
        <v>56</v>
      </c>
      <c r="E59" s="34" t="n">
        <f aca="false">IFERROR(AVERAGEIFS('Patient Data'!$O$2:$O$181,'Patient Data'!$G$2:$G$181,$Q$5,'Patient Data'!$F$2:$F$181,$Q$6,'Patient Data'!$H$2:$H$181,$Q$7,'Patient Data'!$Q$2:$Q$181,$A59),0)</f>
        <v>4.11111111111111</v>
      </c>
    </row>
    <row r="60" customFormat="false" ht="15" hidden="false" customHeight="false" outlineLevel="0" collapsed="false">
      <c r="A60" s="30" t="n">
        <v>7</v>
      </c>
      <c r="B60" s="31" t="s">
        <v>52</v>
      </c>
      <c r="C60" s="32" t="n">
        <f aca="false">COUNTIFS('Patient Data'!$G$2:$G$181,$Q$5,'Patient Data'!$F$2:$F$181,$Q$6,'Patient Data'!$H$2:$H$181,$Q$7,'Patient Data'!$Q$2:$Q$181,$A60)</f>
        <v>21</v>
      </c>
      <c r="D60" s="33" t="n">
        <f aca="false">IFERROR(AVERAGEIFS('Patient Data'!$J$2:$J$181,'Patient Data'!$G$2:$G$181,$Q$5,'Patient Data'!$F$2:$F$181,$Q$6,'Patient Data'!$H$2:$H$181,$Q$7,'Patient Data'!$Q$2:$Q$181,$A60),0)</f>
        <v>44.5238095238095</v>
      </c>
      <c r="E60" s="34" t="n">
        <f aca="false">IFERROR(AVERAGEIFS('Patient Data'!$O$2:$O$181,'Patient Data'!$G$2:$G$181,$Q$5,'Patient Data'!$F$2:$F$181,$Q$6,'Patient Data'!$H$2:$H$181,$Q$7,'Patient Data'!$Q$2:$Q$181,$A60),0)</f>
        <v>4.52380952380952</v>
      </c>
    </row>
    <row r="61" customFormat="false" ht="15" hidden="false" customHeight="false" outlineLevel="0" collapsed="false">
      <c r="A61" s="30" t="n">
        <v>8</v>
      </c>
      <c r="B61" s="31" t="s">
        <v>53</v>
      </c>
      <c r="C61" s="32" t="n">
        <f aca="false">COUNTIFS('Patient Data'!$G$2:$G$181,$Q$5,'Patient Data'!$F$2:$F$181,$Q$6,'Patient Data'!$H$2:$H$181,$Q$7,'Patient Data'!$Q$2:$Q$181,$A61)</f>
        <v>25</v>
      </c>
      <c r="D61" s="33" t="n">
        <f aca="false">IFERROR(AVERAGEIFS('Patient Data'!$J$2:$J$181,'Patient Data'!$G$2:$G$181,$Q$5,'Patient Data'!$F$2:$F$181,$Q$6,'Patient Data'!$H$2:$H$181,$Q$7,'Patient Data'!$Q$2:$Q$181,$A61),0)</f>
        <v>44.44</v>
      </c>
      <c r="E61" s="34" t="n">
        <f aca="false">IFERROR(AVERAGEIFS('Patient Data'!$O$2:$O$181,'Patient Data'!$G$2:$G$181,$Q$5,'Patient Data'!$F$2:$F$181,$Q$6,'Patient Data'!$H$2:$H$181,$Q$7,'Patient Data'!$Q$2:$Q$181,$A61),0)</f>
        <v>4.4</v>
      </c>
    </row>
    <row r="62" customFormat="false" ht="15" hidden="false" customHeight="false" outlineLevel="0" collapsed="false">
      <c r="A62" s="30" t="n">
        <v>9</v>
      </c>
      <c r="B62" s="31" t="s">
        <v>54</v>
      </c>
      <c r="C62" s="32" t="n">
        <f aca="false">COUNTIFS('Patient Data'!$G$2:$G$181,$Q$5,'Patient Data'!$F$2:$F$181,$Q$6,'Patient Data'!$H$2:$H$181,$Q$7,'Patient Data'!$Q$2:$Q$181,$A62)</f>
        <v>22</v>
      </c>
      <c r="D62" s="33" t="n">
        <f aca="false">IFERROR(AVERAGEIFS('Patient Data'!$J$2:$J$181,'Patient Data'!$G$2:$G$181,$Q$5,'Patient Data'!$F$2:$F$181,$Q$6,'Patient Data'!$H$2:$H$181,$Q$7,'Patient Data'!$Q$2:$Q$181,$A62),0)</f>
        <v>43.4545454545455</v>
      </c>
      <c r="E62" s="34" t="n">
        <f aca="false">IFERROR(AVERAGEIFS('Patient Data'!$O$2:$O$181,'Patient Data'!$G$2:$G$181,$Q$5,'Patient Data'!$F$2:$F$181,$Q$6,'Patient Data'!$H$2:$H$181,$Q$7,'Patient Data'!$Q$2:$Q$181,$A62),0)</f>
        <v>4.45454545454545</v>
      </c>
    </row>
    <row r="64" customFormat="false" ht="23.85" hidden="false" customHeight="false" outlineLevel="0" collapsed="false">
      <c r="B64" s="29" t="s">
        <v>55</v>
      </c>
      <c r="C64" s="29" t="s">
        <v>37</v>
      </c>
      <c r="D64" s="29" t="s">
        <v>38</v>
      </c>
      <c r="E64" s="29" t="s">
        <v>39</v>
      </c>
      <c r="G64" s="29" t="s">
        <v>56</v>
      </c>
      <c r="H64" s="29" t="s">
        <v>37</v>
      </c>
      <c r="I64" s="29" t="s">
        <v>57</v>
      </c>
      <c r="J64" s="29" t="s">
        <v>38</v>
      </c>
    </row>
    <row r="65" customFormat="false" ht="15" hidden="false" customHeight="false" outlineLevel="0" collapsed="false">
      <c r="B65" s="31" t="s">
        <v>58</v>
      </c>
      <c r="C65" s="32" t="n">
        <f aca="false">COUNTIFS('Patient Data'!$F$2:$F$181,$Q$6,'Patient Data'!$H$2:$H$181,$Q$7,'Patient Data'!$G$2:$G$181,$B65)</f>
        <v>27</v>
      </c>
      <c r="D65" s="33" t="n">
        <f aca="false">IFERROR(AVERAGEIFS('Patient Data'!$J$2:$J$181,'Patient Data'!$F$2:$F$181,$Q$6,'Patient Data'!$H$2:$H$181,$Q$7,'Patient Data'!$G$2:$G$181,$B65),0)</f>
        <v>74.962962962963</v>
      </c>
      <c r="E65" s="34" t="n">
        <f aca="false">IFERROR(AVERAGEIFS('Patient Data'!$O$2:$O$181,'Patient Data'!$F$2:$F$181,$Q$6,'Patient Data'!$H$2:$H$181,$Q$7,'Patient Data'!$G$2:$G$181,$B65),0)</f>
        <v>4</v>
      </c>
      <c r="G65" s="31" t="s">
        <v>59</v>
      </c>
      <c r="H65" s="32" t="n">
        <f aca="false">COUNTIFS('Patient Data'!$G$2:$G$181,$Q$5,'Patient Data'!$H$2:$H$181,$Q$7,'Patient Data'!$F$2:$F$181,$G65)</f>
        <v>39</v>
      </c>
      <c r="I65" s="35" t="n">
        <f aca="false">IFERROR(SUMIFS('Patient Data'!$V$2:$V$181,'Patient Data'!$G$2:$G$181,$Q$5,'Patient Data'!$H$2:$H$181,$Q$7,'Patient Data'!$F$2:$F$181,$G65)/SUMIFS('Patient Data'!$U$2:$U$181,'Patient Data'!$G$2:$G$181,$Q$5,'Patient Data'!$H$2:$H$181,$Q$7,'Patient Data'!$F$2:$F$181,$G65),0)</f>
        <v>0.826086956521739</v>
      </c>
      <c r="J65" s="33" t="n">
        <f aca="false">IFERROR(AVERAGEIFS('Patient Data'!$J$2:$J$181,'Patient Data'!$G$2:$G$181,$Q$5,'Patient Data'!$H$2:$H$181,$Q$7,'Patient Data'!$F$2:$F$181,$G65),0)</f>
        <v>45.7179487179487</v>
      </c>
    </row>
    <row r="66" customFormat="false" ht="15" hidden="false" customHeight="false" outlineLevel="0" collapsed="false">
      <c r="B66" s="31" t="s">
        <v>60</v>
      </c>
      <c r="C66" s="32" t="n">
        <f aca="false">COUNTIFS('Patient Data'!$F$2:$F$181,$Q$6,'Patient Data'!$H$2:$H$181,$Q$7,'Patient Data'!$G$2:$G$181,$B66)</f>
        <v>41</v>
      </c>
      <c r="D66" s="33" t="n">
        <f aca="false">IFERROR(AVERAGEIFS('Patient Data'!$J$2:$J$181,'Patient Data'!$F$2:$F$181,$Q$6,'Patient Data'!$H$2:$H$181,$Q$7,'Patient Data'!$G$2:$G$181,$B66),0)</f>
        <v>46.7317073170732</v>
      </c>
      <c r="E66" s="34" t="n">
        <f aca="false">IFERROR(AVERAGEIFS('Patient Data'!$O$2:$O$181,'Patient Data'!$F$2:$F$181,$Q$6,'Patient Data'!$H$2:$H$181,$Q$7,'Patient Data'!$G$2:$G$181,$B66),0)</f>
        <v>4.31707317073171</v>
      </c>
      <c r="G66" s="31" t="s">
        <v>61</v>
      </c>
      <c r="H66" s="32" t="n">
        <f aca="false">COUNTIFS('Patient Data'!$G$2:$G$181,$Q$5,'Patient Data'!$H$2:$H$181,$Q$7,'Patient Data'!$F$2:$F$181,$G66)</f>
        <v>31</v>
      </c>
      <c r="I66" s="35" t="n">
        <f aca="false">IFERROR(SUMIFS('Patient Data'!$V$2:$V$181,'Patient Data'!$G$2:$G$181,$Q$5,'Patient Data'!$H$2:$H$181,$Q$7,'Patient Data'!$F$2:$F$181,$G66)/SUMIFS('Patient Data'!$U$2:$U$181,'Patient Data'!$G$2:$G$181,$Q$5,'Patient Data'!$H$2:$H$181,$Q$7,'Patient Data'!$F$2:$F$181,$G66),0)</f>
        <v>0.666666666666667</v>
      </c>
      <c r="J66" s="33" t="n">
        <f aca="false">IFERROR(AVERAGEIFS('Patient Data'!$J$2:$J$181,'Patient Data'!$G$2:$G$181,$Q$5,'Patient Data'!$H$2:$H$181,$Q$7,'Patient Data'!$F$2:$F$181,$G66),0)</f>
        <v>58.1935483870968</v>
      </c>
    </row>
    <row r="67" customFormat="false" ht="15" hidden="false" customHeight="false" outlineLevel="0" collapsed="false">
      <c r="B67" s="31" t="s">
        <v>62</v>
      </c>
      <c r="C67" s="32" t="n">
        <f aca="false">COUNTIFS('Patient Data'!$F$2:$F$181,$Q$6,'Patient Data'!$H$2:$H$181,$Q$7,'Patient Data'!$G$2:$G$181,$B67)</f>
        <v>26</v>
      </c>
      <c r="D67" s="33" t="n">
        <f aca="false">IFERROR(AVERAGEIFS('Patient Data'!$J$2:$J$181,'Patient Data'!$F$2:$F$181,$Q$6,'Patient Data'!$H$2:$H$181,$Q$7,'Patient Data'!$G$2:$G$181,$B67),0)</f>
        <v>49</v>
      </c>
      <c r="E67" s="34" t="n">
        <f aca="false">IFERROR(AVERAGEIFS('Patient Data'!$O$2:$O$181,'Patient Data'!$F$2:$F$181,$Q$6,'Patient Data'!$H$2:$H$181,$Q$7,'Patient Data'!$G$2:$G$181,$B67),0)</f>
        <v>4.30769230769231</v>
      </c>
      <c r="G67" s="31" t="s">
        <v>63</v>
      </c>
      <c r="H67" s="32" t="n">
        <f aca="false">COUNTIFS('Patient Data'!$G$2:$G$181,$Q$5,'Patient Data'!$H$2:$H$181,$Q$7,'Patient Data'!$F$2:$F$181,$G67)</f>
        <v>34</v>
      </c>
      <c r="I67" s="35" t="n">
        <f aca="false">IFERROR(SUMIFS('Patient Data'!$V$2:$V$181,'Patient Data'!$G$2:$G$181,$Q$5,'Patient Data'!$H$2:$H$181,$Q$7,'Patient Data'!$F$2:$F$181,$G67)/SUMIFS('Patient Data'!$U$2:$U$181,'Patient Data'!$G$2:$G$181,$Q$5,'Patient Data'!$H$2:$H$181,$Q$7,'Patient Data'!$F$2:$F$181,$G67),0)</f>
        <v>0.782608695652174</v>
      </c>
      <c r="J67" s="33" t="n">
        <f aca="false">IFERROR(AVERAGEIFS('Patient Data'!$J$2:$J$181,'Patient Data'!$G$2:$G$181,$Q$5,'Patient Data'!$H$2:$H$181,$Q$7,'Patient Data'!$F$2:$F$181,$G67),0)</f>
        <v>38.1764705882353</v>
      </c>
    </row>
    <row r="68" customFormat="false" ht="15" hidden="false" customHeight="false" outlineLevel="0" collapsed="false">
      <c r="B68" s="31" t="s">
        <v>64</v>
      </c>
      <c r="C68" s="32" t="n">
        <f aca="false">COUNTIFS('Patient Data'!$F$2:$F$181,$Q$6,'Patient Data'!$H$2:$H$181,$Q$7,'Patient Data'!$G$2:$G$181,$B68)</f>
        <v>41</v>
      </c>
      <c r="D68" s="33" t="n">
        <f aca="false">IFERROR(AVERAGEIFS('Patient Data'!$J$2:$J$181,'Patient Data'!$F$2:$F$181,$Q$6,'Patient Data'!$H$2:$H$181,$Q$7,'Patient Data'!$G$2:$G$181,$B68),0)</f>
        <v>34.8292682926829</v>
      </c>
      <c r="E68" s="34" t="n">
        <f aca="false">IFERROR(AVERAGEIFS('Patient Data'!$O$2:$O$181,'Patient Data'!$F$2:$F$181,$Q$6,'Patient Data'!$H$2:$H$181,$Q$7,'Patient Data'!$G$2:$G$181,$B68),0)</f>
        <v>4.5609756097561</v>
      </c>
      <c r="G68" s="31" t="s">
        <v>65</v>
      </c>
      <c r="H68" s="32" t="n">
        <f aca="false">COUNTIFS('Patient Data'!$G$2:$G$181,$Q$5,'Patient Data'!$H$2:$H$181,$Q$7,'Patient Data'!$F$2:$F$181,$G68)</f>
        <v>34</v>
      </c>
      <c r="I68" s="35" t="n">
        <f aca="false">IFERROR(SUMIFS('Patient Data'!$V$2:$V$181,'Patient Data'!$G$2:$G$181,$Q$5,'Patient Data'!$H$2:$H$181,$Q$7,'Patient Data'!$F$2:$F$181,$G68)/SUMIFS('Patient Data'!$U$2:$U$181,'Patient Data'!$G$2:$G$181,$Q$5,'Patient Data'!$H$2:$H$181,$Q$7,'Patient Data'!$F$2:$F$181,$G68),0)</f>
        <v>0.666666666666667</v>
      </c>
      <c r="J68" s="33" t="n">
        <f aca="false">IFERROR(AVERAGEIFS('Patient Data'!$J$2:$J$181,'Patient Data'!$G$2:$G$181,$Q$5,'Patient Data'!$H$2:$H$181,$Q$7,'Patient Data'!$F$2:$F$181,$G68),0)</f>
        <v>46.2941176470588</v>
      </c>
    </row>
    <row r="69" customFormat="false" ht="15" hidden="false" customHeight="false" outlineLevel="0" collapsed="false">
      <c r="B69" s="31" t="s">
        <v>66</v>
      </c>
      <c r="C69" s="32" t="n">
        <f aca="false">COUNTIFS('Patient Data'!$F$2:$F$181,$Q$6,'Patient Data'!$H$2:$H$181,$Q$7,'Patient Data'!$G$2:$G$181,$B69)</f>
        <v>30</v>
      </c>
      <c r="D69" s="33" t="n">
        <f aca="false">IFERROR(AVERAGEIFS('Patient Data'!$J$2:$J$181,'Patient Data'!$F$2:$F$181,$Q$6,'Patient Data'!$H$2:$H$181,$Q$7,'Patient Data'!$G$2:$G$181,$B69),0)</f>
        <v>37.1</v>
      </c>
      <c r="E69" s="34" t="n">
        <f aca="false">IFERROR(AVERAGEIFS('Patient Data'!$O$2:$O$181,'Patient Data'!$F$2:$F$181,$Q$6,'Patient Data'!$H$2:$H$181,$Q$7,'Patient Data'!$G$2:$G$181,$B69),0)</f>
        <v>4.63333333333333</v>
      </c>
      <c r="G69" s="31" t="s">
        <v>67</v>
      </c>
      <c r="H69" s="32" t="n">
        <f aca="false">COUNTIFS('Patient Data'!$G$2:$G$181,$Q$5,'Patient Data'!$H$2:$H$181,$Q$7,'Patient Data'!$F$2:$F$181,$G69)</f>
        <v>42</v>
      </c>
      <c r="I69" s="35" t="n">
        <f aca="false">IFERROR(SUMIFS('Patient Data'!$V$2:$V$181,'Patient Data'!$G$2:$G$181,$Q$5,'Patient Data'!$H$2:$H$181,$Q$7,'Patient Data'!$F$2:$F$181,$G69)/SUMIFS('Patient Data'!$U$2:$U$181,'Patient Data'!$G$2:$G$181,$Q$5,'Patient Data'!$H$2:$H$181,$Q$7,'Patient Data'!$F$2:$F$181,$G69),0)</f>
        <v>0.782608695652174</v>
      </c>
      <c r="J69" s="33" t="n">
        <f aca="false">IFERROR(AVERAGEIFS('Patient Data'!$J$2:$J$181,'Patient Data'!$G$2:$G$181,$Q$5,'Patient Data'!$H$2:$H$181,$Q$7,'Patient Data'!$F$2:$F$181,$G69),0)</f>
        <v>52.4285714285714</v>
      </c>
    </row>
    <row r="70" customFormat="false" ht="15" hidden="false" customHeight="false" outlineLevel="0" collapsed="false">
      <c r="B70" s="31" t="s">
        <v>68</v>
      </c>
      <c r="C70" s="32" t="n">
        <f aca="false">COUNTIFS('Patient Data'!$F$2:$F$181,$Q$6,'Patient Data'!$H$2:$H$181,$Q$7,'Patient Data'!$G$2:$G$181,$B70)</f>
        <v>15</v>
      </c>
      <c r="D70" s="33" t="n">
        <f aca="false">IFERROR(AVERAGEIFS('Patient Data'!$J$2:$J$181,'Patient Data'!$F$2:$F$181,$Q$6,'Patient Data'!$H$2:$H$181,$Q$7,'Patient Data'!$G$2:$G$181,$B70),0)</f>
        <v>60.4</v>
      </c>
      <c r="E70" s="34" t="n">
        <f aca="false">IFERROR(AVERAGEIFS('Patient Data'!$O$2:$O$181,'Patient Data'!$F$2:$F$181,$Q$6,'Patient Data'!$H$2:$H$181,$Q$7,'Patient Data'!$G$2:$G$181,$B70),0)</f>
        <v>3.86666666666667</v>
      </c>
    </row>
  </sheetData>
  <mergeCells count="26">
    <mergeCell ref="B2:M2"/>
    <mergeCell ref="B3:M3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43:M43"/>
    <mergeCell ref="B44:M44"/>
    <mergeCell ref="B45:M45"/>
    <mergeCell ref="B46:M46"/>
    <mergeCell ref="B47:M47"/>
    <mergeCell ref="B52:M52"/>
  </mergeCells>
  <dataValidations count="3">
    <dataValidation allowBlank="false" errorStyle="stop" operator="between" showDropDown="false" showErrorMessage="false" showInputMessage="false" sqref="C5" type="list">
      <formula1>"All,Emergency,General Medicine,Maternal Health,Outpatient,Pediatrics,Surgery"</formula1>
      <formula2>0</formula2>
    </dataValidation>
    <dataValidation allowBlank="false" errorStyle="stop" operator="between" showDropDown="false" showErrorMessage="false" showInputMessage="false" sqref="F5" type="list">
      <formula1>"All,Abuja,Gwarinpa,Kubwa,Kuje,Nyanya"</formula1>
      <formula2>0</formula2>
    </dataValidation>
    <dataValidation allowBlank="false" errorStyle="stop" operator="between" showDropDown="false" showErrorMessage="false" showInputMessage="false" sqref="I5" type="list">
      <formula1>"All,Emergency,Follow-up,Outpatient,Routine Check"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495B"/>
    <pageSetUpPr fitToPage="true"/>
  </sheetPr>
  <dimension ref="A2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9" min="4" style="0" width="15"/>
    <col collapsed="false" customWidth="true" hidden="false" outlineLevel="0" max="10" min="10" style="0" width="13"/>
  </cols>
  <sheetData>
    <row r="2" customFormat="false" ht="39.75" hidden="false" customHeight="true" outlineLevel="0" collapsed="false">
      <c r="B2" s="18" t="s">
        <v>69</v>
      </c>
      <c r="C2" s="18"/>
      <c r="D2" s="18"/>
      <c r="E2" s="18"/>
      <c r="F2" s="18"/>
      <c r="G2" s="18"/>
      <c r="H2" s="18"/>
      <c r="I2" s="18"/>
      <c r="J2" s="18"/>
    </row>
    <row r="3" customFormat="false" ht="15" hidden="false" customHeight="false" outlineLevel="0" collapsed="false">
      <c r="B3" s="36" t="s">
        <v>70</v>
      </c>
    </row>
    <row r="5" customFormat="false" ht="15" hidden="false" customHeight="false" outlineLevel="0" collapsed="false">
      <c r="B5" s="10" t="s">
        <v>71</v>
      </c>
      <c r="C5" s="10"/>
      <c r="D5" s="10"/>
      <c r="E5" s="10"/>
      <c r="F5" s="10"/>
      <c r="G5" s="10"/>
      <c r="H5" s="10"/>
      <c r="I5" s="10"/>
      <c r="J5" s="10"/>
    </row>
    <row r="6" customFormat="false" ht="23.85" hidden="false" customHeight="false" outlineLevel="0" collapsed="false">
      <c r="B6" s="29" t="s">
        <v>55</v>
      </c>
      <c r="C6" s="29" t="s">
        <v>37</v>
      </c>
      <c r="D6" s="29" t="s">
        <v>38</v>
      </c>
      <c r="E6" s="29" t="s">
        <v>72</v>
      </c>
      <c r="F6" s="29" t="s">
        <v>39</v>
      </c>
      <c r="G6" s="29" t="s">
        <v>73</v>
      </c>
      <c r="H6" s="29" t="s">
        <v>74</v>
      </c>
      <c r="I6" s="29" t="s">
        <v>57</v>
      </c>
      <c r="J6" s="29" t="s">
        <v>75</v>
      </c>
    </row>
    <row r="7" customFormat="false" ht="15" hidden="false" customHeight="false" outlineLevel="0" collapsed="false">
      <c r="B7" s="37" t="s">
        <v>58</v>
      </c>
      <c r="C7" s="32" t="n">
        <f aca="false">COUNTIFS('Patient Data'!$G$2:$G$181,$B7)</f>
        <v>27</v>
      </c>
      <c r="D7" s="33" t="n">
        <f aca="false">AVERAGEIFS('Patient Data'!$J$2:$J$181,'Patient Data'!$G$2:$G$181,$B7)</f>
        <v>74.962962962963</v>
      </c>
      <c r="E7" s="35" t="n">
        <f aca="false">SUMIFS('Patient Data'!$T$2:$T$181,'Patient Data'!$G$2:$G$181,$B7)/C7</f>
        <v>0.814814814814815</v>
      </c>
      <c r="F7" s="34" t="n">
        <f aca="false">AVERAGEIFS('Patient Data'!$O$2:$O$181,'Patient Data'!$G$2:$G$181,$B7)</f>
        <v>4</v>
      </c>
      <c r="G7" s="38" t="n">
        <f aca="false">AVERAGEIFS('Patient Data'!$L$2:$L$181,'Patient Data'!$G$2:$G$181,$B7)</f>
        <v>116318.185185185</v>
      </c>
      <c r="H7" s="32" t="n">
        <f aca="false">SUMIFS('Patient Data'!$U$2:$U$181,'Patient Data'!$G$2:$G$181,$B7)</f>
        <v>13</v>
      </c>
      <c r="I7" s="35" t="n">
        <f aca="false">IF(H7=0,0,SUMIFS('Patient Data'!$V$2:$V$181,'Patient Data'!$G$2:$G$181,$B7)/H7)</f>
        <v>0.846153846153846</v>
      </c>
      <c r="J7" s="39" t="str">
        <f aca="false">IF((F7&lt;'Scenario Lab'!$C$8)+(I7&lt;'Scenario Lab'!$C$7)+(E7&gt;'Scenario Lab'!$C$9)=0,"GREEN",IF((F7&lt;'Scenario Lab'!$C$8)+(I7&lt;'Scenario Lab'!$C$7)+(E7&gt;'Scenario Lab'!$C$9)=1,"AMBER","RED"))</f>
        <v>RED</v>
      </c>
    </row>
    <row r="8" customFormat="false" ht="15" hidden="false" customHeight="false" outlineLevel="0" collapsed="false">
      <c r="B8" s="37" t="s">
        <v>60</v>
      </c>
      <c r="C8" s="32" t="n">
        <f aca="false">COUNTIFS('Patient Data'!$G$2:$G$181,$B8)</f>
        <v>41</v>
      </c>
      <c r="D8" s="33" t="n">
        <f aca="false">AVERAGEIFS('Patient Data'!$J$2:$J$181,'Patient Data'!$G$2:$G$181,$B8)</f>
        <v>46.7317073170732</v>
      </c>
      <c r="E8" s="35" t="n">
        <f aca="false">SUMIFS('Patient Data'!$T$2:$T$181,'Patient Data'!$G$2:$G$181,$B8)/C8</f>
        <v>0.219512195121951</v>
      </c>
      <c r="F8" s="34" t="n">
        <f aca="false">AVERAGEIFS('Patient Data'!$O$2:$O$181,'Patient Data'!$G$2:$G$181,$B8)</f>
        <v>4.31707317073171</v>
      </c>
      <c r="G8" s="38" t="n">
        <f aca="false">AVERAGEIFS('Patient Data'!$L$2:$L$181,'Patient Data'!$G$2:$G$181,$B8)</f>
        <v>71076.9268292683</v>
      </c>
      <c r="H8" s="32" t="n">
        <f aca="false">SUMIFS('Patient Data'!$U$2:$U$181,'Patient Data'!$G$2:$G$181,$B8)</f>
        <v>23</v>
      </c>
      <c r="I8" s="35" t="n">
        <f aca="false">IF(H8=0,0,SUMIFS('Patient Data'!$V$2:$V$181,'Patient Data'!$G$2:$G$181,$B8)/H8)</f>
        <v>0.608695652173913</v>
      </c>
      <c r="J8" s="39" t="str">
        <f aca="false">IF((F8&lt;'Scenario Lab'!$C$8)+(I8&lt;'Scenario Lab'!$C$7)+(E8&gt;'Scenario Lab'!$C$9)=0,"GREEN",IF((F8&lt;'Scenario Lab'!$C$8)+(I8&lt;'Scenario Lab'!$C$7)+(E8&gt;'Scenario Lab'!$C$9)=1,"AMBER","RED"))</f>
        <v>RED</v>
      </c>
    </row>
    <row r="9" customFormat="false" ht="15" hidden="false" customHeight="false" outlineLevel="0" collapsed="false">
      <c r="B9" s="37" t="s">
        <v>62</v>
      </c>
      <c r="C9" s="32" t="n">
        <f aca="false">COUNTIFS('Patient Data'!$G$2:$G$181,$B9)</f>
        <v>26</v>
      </c>
      <c r="D9" s="33" t="n">
        <f aca="false">AVERAGEIFS('Patient Data'!$J$2:$J$181,'Patient Data'!$G$2:$G$181,$B9)</f>
        <v>49</v>
      </c>
      <c r="E9" s="35" t="n">
        <f aca="false">SUMIFS('Patient Data'!$T$2:$T$181,'Patient Data'!$G$2:$G$181,$B9)/C9</f>
        <v>0.192307692307692</v>
      </c>
      <c r="F9" s="34" t="n">
        <f aca="false">AVERAGEIFS('Patient Data'!$O$2:$O$181,'Patient Data'!$G$2:$G$181,$B9)</f>
        <v>4.30769230769231</v>
      </c>
      <c r="G9" s="38" t="n">
        <f aca="false">AVERAGEIFS('Patient Data'!$L$2:$L$181,'Patient Data'!$G$2:$G$181,$B9)</f>
        <v>99431.4615384615</v>
      </c>
      <c r="H9" s="32" t="n">
        <f aca="false">SUMIFS('Patient Data'!$U$2:$U$181,'Patient Data'!$G$2:$G$181,$B9)</f>
        <v>17</v>
      </c>
      <c r="I9" s="35" t="n">
        <f aca="false">IF(H9=0,0,SUMIFS('Patient Data'!$V$2:$V$181,'Patient Data'!$G$2:$G$181,$B9)/H9)</f>
        <v>0.764705882352941</v>
      </c>
      <c r="J9" s="39" t="str">
        <f aca="false">IF((F9&lt;'Scenario Lab'!$C$8)+(I9&lt;'Scenario Lab'!$C$7)+(E9&gt;'Scenario Lab'!$C$9)=0,"GREEN",IF((F9&lt;'Scenario Lab'!$C$8)+(I9&lt;'Scenario Lab'!$C$7)+(E9&gt;'Scenario Lab'!$C$9)=1,"AMBER","RED"))</f>
        <v>GREEN</v>
      </c>
    </row>
    <row r="10" customFormat="false" ht="15" hidden="false" customHeight="false" outlineLevel="0" collapsed="false">
      <c r="B10" s="37" t="s">
        <v>64</v>
      </c>
      <c r="C10" s="32" t="n">
        <f aca="false">COUNTIFS('Patient Data'!$G$2:$G$181,$B10)</f>
        <v>41</v>
      </c>
      <c r="D10" s="33" t="n">
        <f aca="false">AVERAGEIFS('Patient Data'!$J$2:$J$181,'Patient Data'!$G$2:$G$181,$B10)</f>
        <v>34.8292682926829</v>
      </c>
      <c r="E10" s="35" t="n">
        <f aca="false">SUMIFS('Patient Data'!$T$2:$T$181,'Patient Data'!$G$2:$G$181,$B10)/C10</f>
        <v>0.024390243902439</v>
      </c>
      <c r="F10" s="34" t="n">
        <f aca="false">AVERAGEIFS('Patient Data'!$O$2:$O$181,'Patient Data'!$G$2:$G$181,$B10)</f>
        <v>4.5609756097561</v>
      </c>
      <c r="G10" s="38" t="n">
        <f aca="false">AVERAGEIFS('Patient Data'!$L$2:$L$181,'Patient Data'!$G$2:$G$181,$B10)</f>
        <v>49574.756097561</v>
      </c>
      <c r="H10" s="32" t="n">
        <f aca="false">SUMIFS('Patient Data'!$U$2:$U$181,'Patient Data'!$G$2:$G$181,$B10)</f>
        <v>27</v>
      </c>
      <c r="I10" s="35" t="n">
        <f aca="false">IF(H10=0,0,SUMIFS('Patient Data'!$V$2:$V$181,'Patient Data'!$G$2:$G$181,$B10)/H10)</f>
        <v>0.703703703703704</v>
      </c>
      <c r="J10" s="39" t="str">
        <f aca="false">IF((F10&lt;'Scenario Lab'!$C$8)+(I10&lt;'Scenario Lab'!$C$7)+(E10&gt;'Scenario Lab'!$C$9)=0,"GREEN",IF((F10&lt;'Scenario Lab'!$C$8)+(I10&lt;'Scenario Lab'!$C$7)+(E10&gt;'Scenario Lab'!$C$9)=1,"AMBER","RED"))</f>
        <v>AMBER</v>
      </c>
    </row>
    <row r="11" customFormat="false" ht="15" hidden="false" customHeight="false" outlineLevel="0" collapsed="false">
      <c r="B11" s="37" t="s">
        <v>66</v>
      </c>
      <c r="C11" s="32" t="n">
        <f aca="false">COUNTIFS('Patient Data'!$G$2:$G$181,$B11)</f>
        <v>30</v>
      </c>
      <c r="D11" s="33" t="n">
        <f aca="false">AVERAGEIFS('Patient Data'!$J$2:$J$181,'Patient Data'!$G$2:$G$181,$B11)</f>
        <v>37.1</v>
      </c>
      <c r="E11" s="35" t="n">
        <f aca="false">SUMIFS('Patient Data'!$T$2:$T$181,'Patient Data'!$G$2:$G$181,$B11)/C11</f>
        <v>0.133333333333333</v>
      </c>
      <c r="F11" s="34" t="n">
        <f aca="false">AVERAGEIFS('Patient Data'!$O$2:$O$181,'Patient Data'!$G$2:$G$181,$B11)</f>
        <v>4.63333333333333</v>
      </c>
      <c r="G11" s="38" t="n">
        <f aca="false">AVERAGEIFS('Patient Data'!$L$2:$L$181,'Patient Data'!$G$2:$G$181,$B11)</f>
        <v>65194.7666666667</v>
      </c>
      <c r="H11" s="32" t="n">
        <f aca="false">SUMIFS('Patient Data'!$U$2:$U$181,'Patient Data'!$G$2:$G$181,$B11)</f>
        <v>18</v>
      </c>
      <c r="I11" s="35" t="n">
        <f aca="false">IF(H11=0,0,SUMIFS('Patient Data'!$V$2:$V$181,'Patient Data'!$G$2:$G$181,$B11)/H11)</f>
        <v>0.777777777777778</v>
      </c>
      <c r="J11" s="39" t="str">
        <f aca="false">IF((F11&lt;'Scenario Lab'!$C$8)+(I11&lt;'Scenario Lab'!$C$7)+(E11&gt;'Scenario Lab'!$C$9)=0,"GREEN",IF((F11&lt;'Scenario Lab'!$C$8)+(I11&lt;'Scenario Lab'!$C$7)+(E11&gt;'Scenario Lab'!$C$9)=1,"AMBER","RED"))</f>
        <v>GREEN</v>
      </c>
    </row>
    <row r="12" customFormat="false" ht="15" hidden="false" customHeight="false" outlineLevel="0" collapsed="false">
      <c r="B12" s="37" t="s">
        <v>68</v>
      </c>
      <c r="C12" s="32" t="n">
        <f aca="false">COUNTIFS('Patient Data'!$G$2:$G$181,$B12)</f>
        <v>15</v>
      </c>
      <c r="D12" s="33" t="n">
        <f aca="false">AVERAGEIFS('Patient Data'!$J$2:$J$181,'Patient Data'!$G$2:$G$181,$B12)</f>
        <v>60.4</v>
      </c>
      <c r="E12" s="35" t="n">
        <f aca="false">SUMIFS('Patient Data'!$T$2:$T$181,'Patient Data'!$G$2:$G$181,$B12)/C12</f>
        <v>0.533333333333333</v>
      </c>
      <c r="F12" s="34" t="n">
        <f aca="false">AVERAGEIFS('Patient Data'!$O$2:$O$181,'Patient Data'!$G$2:$G$181,$B12)</f>
        <v>3.86666666666667</v>
      </c>
      <c r="G12" s="38" t="n">
        <f aca="false">AVERAGEIFS('Patient Data'!$L$2:$L$181,'Patient Data'!$G$2:$G$181,$B12)</f>
        <v>220868.466666667</v>
      </c>
      <c r="H12" s="32" t="n">
        <f aca="false">SUMIFS('Patient Data'!$U$2:$U$181,'Patient Data'!$G$2:$G$181,$B12)</f>
        <v>10</v>
      </c>
      <c r="I12" s="35" t="n">
        <f aca="false">IF(H12=0,0,SUMIFS('Patient Data'!$V$2:$V$181,'Patient Data'!$G$2:$G$181,$B12)/H12)</f>
        <v>1</v>
      </c>
      <c r="J12" s="39" t="str">
        <f aca="false">IF((F12&lt;'Scenario Lab'!$C$8)+(I12&lt;'Scenario Lab'!$C$7)+(E12&gt;'Scenario Lab'!$C$9)=0,"GREEN",IF((F12&lt;'Scenario Lab'!$C$8)+(I12&lt;'Scenario Lab'!$C$7)+(E12&gt;'Scenario Lab'!$C$9)=1,"AMBER","RED"))</f>
        <v>RED</v>
      </c>
    </row>
    <row r="13" customFormat="false" ht="15" hidden="false" customHeight="false" outlineLevel="0" collapsed="false">
      <c r="B13" s="40" t="s">
        <v>76</v>
      </c>
      <c r="C13" s="41" t="n">
        <f aca="false">SUM(C7:C12)</f>
        <v>180</v>
      </c>
      <c r="D13" s="42" t="n">
        <f aca="false">AVERAGE('Patient Data'!$J$2:$J$181)</f>
        <v>48.1166666666667</v>
      </c>
      <c r="E13" s="43" t="n">
        <f aca="false">SUM('Patient Data'!$T$2:$T$181)/C13</f>
        <v>0.272222222222222</v>
      </c>
      <c r="F13" s="44" t="n">
        <f aca="false">AVERAGE('Patient Data'!$O$2:$O$181)</f>
        <v>4.33888888888889</v>
      </c>
      <c r="G13" s="45" t="n">
        <f aca="false">AVERAGE('Patient Data'!$L$2:$L$181)</f>
        <v>88563.3222222222</v>
      </c>
      <c r="H13" s="41" t="n">
        <f aca="false">SUM(H7:H12)</f>
        <v>108</v>
      </c>
      <c r="I13" s="43" t="n">
        <f aca="false">SUM('Patient Data'!$V$2:$V$181)/H13</f>
        <v>0.75</v>
      </c>
      <c r="J13" s="46"/>
    </row>
    <row r="14" customFormat="false" ht="15" hidden="false" customHeight="false" outlineLevel="0" collapsed="false">
      <c r="B14" s="47" t="s">
        <v>77</v>
      </c>
    </row>
    <row r="16" customFormat="false" ht="15" hidden="false" customHeight="false" outlineLevel="0" collapsed="false">
      <c r="B16" s="10" t="s">
        <v>78</v>
      </c>
      <c r="C16" s="10"/>
      <c r="D16" s="10"/>
      <c r="E16" s="10"/>
      <c r="F16" s="10"/>
      <c r="G16" s="10"/>
      <c r="H16" s="10"/>
      <c r="I16" s="10"/>
      <c r="J16" s="10"/>
    </row>
    <row r="17" customFormat="false" ht="23.85" hidden="false" customHeight="false" outlineLevel="0" collapsed="false">
      <c r="B17" s="29" t="s">
        <v>79</v>
      </c>
      <c r="C17" s="29" t="s">
        <v>37</v>
      </c>
      <c r="D17" s="29" t="s">
        <v>80</v>
      </c>
      <c r="E17" s="29" t="s">
        <v>39</v>
      </c>
      <c r="F17" s="29" t="s">
        <v>73</v>
      </c>
      <c r="G17" s="29" t="s">
        <v>57</v>
      </c>
    </row>
    <row r="18" customFormat="false" ht="15" hidden="false" customHeight="false" outlineLevel="0" collapsed="false">
      <c r="B18" s="37" t="s">
        <v>43</v>
      </c>
      <c r="C18" s="32" t="n">
        <f aca="false">COUNTIFS('Patient Data'!$S$2:$S$181,$B18)</f>
        <v>41</v>
      </c>
      <c r="D18" s="35" t="n">
        <f aca="false">C18/COUNTA('Patient Data'!$A$2:$A$181)</f>
        <v>0.227777777777778</v>
      </c>
      <c r="E18" s="34" t="n">
        <f aca="false">AVERAGEIFS('Patient Data'!$O$2:$O$181,'Patient Data'!$S$2:$S$181,$B18)</f>
        <v>4.80487804878049</v>
      </c>
      <c r="F18" s="38" t="n">
        <f aca="false">AVERAGEIFS('Patient Data'!$L$2:$L$181,'Patient Data'!$S$2:$S$181,$B18)</f>
        <v>66293.756097561</v>
      </c>
      <c r="G18" s="35" t="n">
        <f aca="false">IFERROR(SUMIFS('Patient Data'!$V$2:$V$181,'Patient Data'!$S$2:$S$181,$B18)/SUMIFS('Patient Data'!$U$2:$U$181,'Patient Data'!$S$2:$S$181,$B18),0)</f>
        <v>0.739130434782609</v>
      </c>
    </row>
    <row r="19" customFormat="false" ht="15" hidden="false" customHeight="false" outlineLevel="0" collapsed="false">
      <c r="B19" s="37" t="s">
        <v>45</v>
      </c>
      <c r="C19" s="32" t="n">
        <f aca="false">COUNTIFS('Patient Data'!$S$2:$S$181,$B19)</f>
        <v>90</v>
      </c>
      <c r="D19" s="35" t="n">
        <f aca="false">C19/COUNTA('Patient Data'!$A$2:$A$181)</f>
        <v>0.5</v>
      </c>
      <c r="E19" s="34" t="n">
        <f aca="false">AVERAGEIFS('Patient Data'!$O$2:$O$181,'Patient Data'!$S$2:$S$181,$B19)</f>
        <v>4.38888888888889</v>
      </c>
      <c r="F19" s="38" t="n">
        <f aca="false">AVERAGEIFS('Patient Data'!$L$2:$L$181,'Patient Data'!$S$2:$S$181,$B19)</f>
        <v>86118.2</v>
      </c>
      <c r="G19" s="35" t="n">
        <f aca="false">IFERROR(SUMIFS('Patient Data'!$V$2:$V$181,'Patient Data'!$S$2:$S$181,$B19)/SUMIFS('Patient Data'!$U$2:$U$181,'Patient Data'!$S$2:$S$181,$B19),0)</f>
        <v>0.683333333333333</v>
      </c>
    </row>
    <row r="20" customFormat="false" ht="15" hidden="false" customHeight="false" outlineLevel="0" collapsed="false">
      <c r="B20" s="37" t="s">
        <v>47</v>
      </c>
      <c r="C20" s="32" t="n">
        <f aca="false">COUNTIFS('Patient Data'!$S$2:$S$181,$B20)</f>
        <v>43</v>
      </c>
      <c r="D20" s="35" t="n">
        <f aca="false">C20/COUNTA('Patient Data'!$A$2:$A$181)</f>
        <v>0.238888888888889</v>
      </c>
      <c r="E20" s="34" t="n">
        <f aca="false">AVERAGEIFS('Patient Data'!$O$2:$O$181,'Patient Data'!$S$2:$S$181,$B20)</f>
        <v>3.90697674418605</v>
      </c>
      <c r="F20" s="38" t="n">
        <f aca="false">AVERAGEIFS('Patient Data'!$L$2:$L$181,'Patient Data'!$S$2:$S$181,$B20)</f>
        <v>110495.325581395</v>
      </c>
      <c r="G20" s="35" t="n">
        <f aca="false">IFERROR(SUMIFS('Patient Data'!$V$2:$V$181,'Patient Data'!$S$2:$S$181,$B20)/SUMIFS('Patient Data'!$U$2:$U$181,'Patient Data'!$S$2:$S$181,$B20),0)</f>
        <v>0.904761904761905</v>
      </c>
    </row>
    <row r="21" customFormat="false" ht="15" hidden="false" customHeight="false" outlineLevel="0" collapsed="false">
      <c r="B21" s="37" t="s">
        <v>49</v>
      </c>
      <c r="C21" s="32" t="n">
        <f aca="false">COUNTIFS('Patient Data'!$S$2:$S$181,$B21)</f>
        <v>6</v>
      </c>
      <c r="D21" s="35" t="n">
        <f aca="false">C21/COUNTA('Patient Data'!$A$2:$A$181)</f>
        <v>0.0333333333333333</v>
      </c>
      <c r="E21" s="34" t="n">
        <f aca="false">AVERAGEIFS('Patient Data'!$O$2:$O$181,'Patient Data'!$S$2:$S$181,$B21)</f>
        <v>3.5</v>
      </c>
      <c r="F21" s="38" t="n">
        <f aca="false">AVERAGEIFS('Patient Data'!$L$2:$L$181,'Patient Data'!$S$2:$S$181,$B21)</f>
        <v>120236.166666667</v>
      </c>
      <c r="G21" s="35" t="n">
        <f aca="false">IFERROR(SUMIFS('Patient Data'!$V$2:$V$181,'Patient Data'!$S$2:$S$181,$B21)/SUMIFS('Patient Data'!$U$2:$U$181,'Patient Data'!$S$2:$S$181,$B21),0)</f>
        <v>1</v>
      </c>
    </row>
    <row r="22" customFormat="false" ht="15" hidden="false" customHeight="false" outlineLevel="0" collapsed="false">
      <c r="B22" s="37" t="s">
        <v>81</v>
      </c>
      <c r="C22" s="37"/>
      <c r="D22" s="48" t="n">
        <f aca="false">CORREL('Patient Data'!$J$2:$J$181,'Patient Data'!$O$2:$O$181)</f>
        <v>-0.615783409012144</v>
      </c>
      <c r="E22" s="47" t="s">
        <v>82</v>
      </c>
    </row>
    <row r="23" customFormat="false" ht="15" hidden="false" customHeight="false" outlineLevel="0" collapsed="false">
      <c r="B23" s="37" t="s">
        <v>83</v>
      </c>
      <c r="C23" s="37"/>
      <c r="D23" s="49" t="n">
        <f aca="false">SLOPE('Patient Data'!$O$2:$O$181,'Patient Data'!$J$2:$J$181)*10</f>
        <v>-0.186601520327873</v>
      </c>
    </row>
    <row r="25" customFormat="false" ht="15" hidden="false" customHeight="false" outlineLevel="0" collapsed="false">
      <c r="B25" s="10" t="s">
        <v>84</v>
      </c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false" outlineLevel="0" collapsed="false">
      <c r="B26" s="29" t="s">
        <v>56</v>
      </c>
      <c r="C26" s="29" t="s">
        <v>37</v>
      </c>
      <c r="D26" s="29" t="s">
        <v>74</v>
      </c>
      <c r="E26" s="29" t="s">
        <v>85</v>
      </c>
      <c r="F26" s="29" t="s">
        <v>86</v>
      </c>
      <c r="G26" s="29" t="s">
        <v>38</v>
      </c>
      <c r="H26" s="29" t="s">
        <v>39</v>
      </c>
    </row>
    <row r="27" customFormat="false" ht="15" hidden="false" customHeight="false" outlineLevel="0" collapsed="false">
      <c r="B27" s="37" t="s">
        <v>59</v>
      </c>
      <c r="C27" s="32" t="n">
        <f aca="false">COUNTIFS('Patient Data'!$F$2:$F$181,$B27)</f>
        <v>39</v>
      </c>
      <c r="D27" s="32" t="n">
        <f aca="false">SUMIFS('Patient Data'!$U$2:$U$181,'Patient Data'!$F$2:$F$181,$B27)</f>
        <v>23</v>
      </c>
      <c r="E27" s="32" t="n">
        <f aca="false">SUMIFS('Patient Data'!$V$2:$V$181,'Patient Data'!$F$2:$F$181,$B27)</f>
        <v>19</v>
      </c>
      <c r="F27" s="35" t="n">
        <f aca="false">IF(D27=0,0,E27/D27)</f>
        <v>0.826086956521739</v>
      </c>
      <c r="G27" s="33" t="n">
        <f aca="false">AVERAGEIFS('Patient Data'!$J$2:$J$181,'Patient Data'!$F$2:$F$181,$B27)</f>
        <v>45.7179487179487</v>
      </c>
      <c r="H27" s="34" t="n">
        <f aca="false">AVERAGEIFS('Patient Data'!$O$2:$O$181,'Patient Data'!$F$2:$F$181,$B27)</f>
        <v>4.38461538461539</v>
      </c>
    </row>
    <row r="28" customFormat="false" ht="15" hidden="false" customHeight="false" outlineLevel="0" collapsed="false">
      <c r="B28" s="37" t="s">
        <v>61</v>
      </c>
      <c r="C28" s="32" t="n">
        <f aca="false">COUNTIFS('Patient Data'!$F$2:$F$181,$B28)</f>
        <v>31</v>
      </c>
      <c r="D28" s="32" t="n">
        <f aca="false">SUMIFS('Patient Data'!$U$2:$U$181,'Patient Data'!$F$2:$F$181,$B28)</f>
        <v>18</v>
      </c>
      <c r="E28" s="32" t="n">
        <f aca="false">SUMIFS('Patient Data'!$V$2:$V$181,'Patient Data'!$F$2:$F$181,$B28)</f>
        <v>12</v>
      </c>
      <c r="F28" s="35" t="n">
        <f aca="false">IF(D28=0,0,E28/D28)</f>
        <v>0.666666666666667</v>
      </c>
      <c r="G28" s="33" t="n">
        <f aca="false">AVERAGEIFS('Patient Data'!$J$2:$J$181,'Patient Data'!$F$2:$F$181,$B28)</f>
        <v>58.1935483870968</v>
      </c>
      <c r="H28" s="34" t="n">
        <f aca="false">AVERAGEIFS('Patient Data'!$O$2:$O$181,'Patient Data'!$F$2:$F$181,$B28)</f>
        <v>4.32258064516129</v>
      </c>
    </row>
    <row r="29" customFormat="false" ht="15" hidden="false" customHeight="false" outlineLevel="0" collapsed="false">
      <c r="B29" s="37" t="s">
        <v>63</v>
      </c>
      <c r="C29" s="32" t="n">
        <f aca="false">COUNTIFS('Patient Data'!$F$2:$F$181,$B29)</f>
        <v>34</v>
      </c>
      <c r="D29" s="32" t="n">
        <f aca="false">SUMIFS('Patient Data'!$U$2:$U$181,'Patient Data'!$F$2:$F$181,$B29)</f>
        <v>23</v>
      </c>
      <c r="E29" s="32" t="n">
        <f aca="false">SUMIFS('Patient Data'!$V$2:$V$181,'Patient Data'!$F$2:$F$181,$B29)</f>
        <v>18</v>
      </c>
      <c r="F29" s="35" t="n">
        <f aca="false">IF(D29=0,0,E29/D29)</f>
        <v>0.782608695652174</v>
      </c>
      <c r="G29" s="33" t="n">
        <f aca="false">AVERAGEIFS('Patient Data'!$J$2:$J$181,'Patient Data'!$F$2:$F$181,$B29)</f>
        <v>38.1764705882353</v>
      </c>
      <c r="H29" s="34" t="n">
        <f aca="false">AVERAGEIFS('Patient Data'!$O$2:$O$181,'Patient Data'!$F$2:$F$181,$B29)</f>
        <v>4.38235294117647</v>
      </c>
    </row>
    <row r="30" customFormat="false" ht="15" hidden="false" customHeight="false" outlineLevel="0" collapsed="false">
      <c r="B30" s="37" t="s">
        <v>65</v>
      </c>
      <c r="C30" s="32" t="n">
        <f aca="false">COUNTIFS('Patient Data'!$F$2:$F$181,$B30)</f>
        <v>34</v>
      </c>
      <c r="D30" s="32" t="n">
        <f aca="false">SUMIFS('Patient Data'!$U$2:$U$181,'Patient Data'!$F$2:$F$181,$B30)</f>
        <v>21</v>
      </c>
      <c r="E30" s="32" t="n">
        <f aca="false">SUMIFS('Patient Data'!$V$2:$V$181,'Patient Data'!$F$2:$F$181,$B30)</f>
        <v>14</v>
      </c>
      <c r="F30" s="35" t="n">
        <f aca="false">IF(D30=0,0,E30/D30)</f>
        <v>0.666666666666667</v>
      </c>
      <c r="G30" s="33" t="n">
        <f aca="false">AVERAGEIFS('Patient Data'!$J$2:$J$181,'Patient Data'!$F$2:$F$181,$B30)</f>
        <v>46.2941176470588</v>
      </c>
      <c r="H30" s="34" t="n">
        <f aca="false">AVERAGEIFS('Patient Data'!$O$2:$O$181,'Patient Data'!$F$2:$F$181,$B30)</f>
        <v>4.38235294117647</v>
      </c>
    </row>
    <row r="31" customFormat="false" ht="15" hidden="false" customHeight="false" outlineLevel="0" collapsed="false">
      <c r="B31" s="37" t="s">
        <v>67</v>
      </c>
      <c r="C31" s="32" t="n">
        <f aca="false">COUNTIFS('Patient Data'!$F$2:$F$181,$B31)</f>
        <v>42</v>
      </c>
      <c r="D31" s="32" t="n">
        <f aca="false">SUMIFS('Patient Data'!$U$2:$U$181,'Patient Data'!$F$2:$F$181,$B31)</f>
        <v>23</v>
      </c>
      <c r="E31" s="32" t="n">
        <f aca="false">SUMIFS('Patient Data'!$V$2:$V$181,'Patient Data'!$F$2:$F$181,$B31)</f>
        <v>18</v>
      </c>
      <c r="F31" s="35" t="n">
        <f aca="false">IF(D31=0,0,E31/D31)</f>
        <v>0.782608695652174</v>
      </c>
      <c r="G31" s="33" t="n">
        <f aca="false">AVERAGEIFS('Patient Data'!$J$2:$J$181,'Patient Data'!$F$2:$F$181,$B31)</f>
        <v>52.4285714285714</v>
      </c>
      <c r="H31" s="34" t="n">
        <f aca="false">AVERAGEIFS('Patient Data'!$O$2:$O$181,'Patient Data'!$F$2:$F$181,$B31)</f>
        <v>4.23809523809524</v>
      </c>
    </row>
    <row r="33" customFormat="false" ht="15" hidden="false" customHeight="false" outlineLevel="0" collapsed="false">
      <c r="B33" s="10" t="s">
        <v>87</v>
      </c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false" outlineLevel="0" collapsed="false">
      <c r="B34" s="29" t="s">
        <v>55</v>
      </c>
      <c r="C34" s="29" t="s">
        <v>59</v>
      </c>
      <c r="D34" s="29" t="s">
        <v>61</v>
      </c>
      <c r="E34" s="29" t="s">
        <v>63</v>
      </c>
      <c r="F34" s="29" t="s">
        <v>65</v>
      </c>
      <c r="G34" s="29" t="s">
        <v>67</v>
      </c>
      <c r="H34" s="29" t="s">
        <v>88</v>
      </c>
    </row>
    <row r="35" customFormat="false" ht="15" hidden="false" customHeight="false" outlineLevel="0" collapsed="false">
      <c r="B35" s="37" t="s">
        <v>58</v>
      </c>
      <c r="C35" s="50" t="n">
        <f aca="false">IFERROR(AVERAGEIFS('Patient Data'!$J$2:$J$181,'Patient Data'!$G$2:$G$181,$B35,'Patient Data'!$F$2:$F$181,C$34),0)</f>
        <v>57</v>
      </c>
      <c r="D35" s="50" t="n">
        <f aca="false">IFERROR(AVERAGEIFS('Patient Data'!$J$2:$J$181,'Patient Data'!$G$2:$G$181,$B35,'Patient Data'!$F$2:$F$181,D$34),0)</f>
        <v>77.1111111111111</v>
      </c>
      <c r="E35" s="50" t="n">
        <f aca="false">IFERROR(AVERAGEIFS('Patient Data'!$J$2:$J$181,'Patient Data'!$G$2:$G$181,$B35,'Patient Data'!$F$2:$F$181,E$34),0)</f>
        <v>61</v>
      </c>
      <c r="F35" s="50" t="n">
        <f aca="false">IFERROR(AVERAGEIFS('Patient Data'!$J$2:$J$181,'Patient Data'!$G$2:$G$181,$B35,'Patient Data'!$F$2:$F$181,F$34),0)</f>
        <v>74.8</v>
      </c>
      <c r="G35" s="50" t="n">
        <f aca="false">IFERROR(AVERAGEIFS('Patient Data'!$J$2:$J$181,'Patient Data'!$G$2:$G$181,$B35,'Patient Data'!$F$2:$F$181,G$34),0)</f>
        <v>79.5555555555556</v>
      </c>
      <c r="H35" s="51" t="n">
        <f aca="false">AVERAGEIFS('Patient Data'!$J$2:$J$181,'Patient Data'!$G$2:$G$181,$B35)</f>
        <v>74.962962962963</v>
      </c>
    </row>
    <row r="36" customFormat="false" ht="15" hidden="false" customHeight="false" outlineLevel="0" collapsed="false">
      <c r="B36" s="37" t="s">
        <v>60</v>
      </c>
      <c r="C36" s="50" t="n">
        <f aca="false">IFERROR(AVERAGEIFS('Patient Data'!$J$2:$J$181,'Patient Data'!$G$2:$G$181,$B36,'Patient Data'!$F$2:$F$181,C$34),0)</f>
        <v>41.7272727272727</v>
      </c>
      <c r="D36" s="50" t="n">
        <f aca="false">IFERROR(AVERAGEIFS('Patient Data'!$J$2:$J$181,'Patient Data'!$G$2:$G$181,$B36,'Patient Data'!$F$2:$F$181,D$34),0)</f>
        <v>56.1666666666667</v>
      </c>
      <c r="E36" s="50" t="n">
        <f aca="false">IFERROR(AVERAGEIFS('Patient Data'!$J$2:$J$181,'Patient Data'!$G$2:$G$181,$B36,'Patient Data'!$F$2:$F$181,E$34),0)</f>
        <v>25.6666666666667</v>
      </c>
      <c r="F36" s="50" t="n">
        <f aca="false">IFERROR(AVERAGEIFS('Patient Data'!$J$2:$J$181,'Patient Data'!$G$2:$G$181,$B36,'Patient Data'!$F$2:$F$181,F$34),0)</f>
        <v>48</v>
      </c>
      <c r="G36" s="50" t="n">
        <f aca="false">IFERROR(AVERAGEIFS('Patient Data'!$J$2:$J$181,'Patient Data'!$G$2:$G$181,$B36,'Patient Data'!$F$2:$F$181,G$34),0)</f>
        <v>50.9166666666667</v>
      </c>
      <c r="H36" s="51" t="n">
        <f aca="false">AVERAGEIFS('Patient Data'!$J$2:$J$181,'Patient Data'!$G$2:$G$181,$B36)</f>
        <v>46.7317073170732</v>
      </c>
    </row>
    <row r="37" customFormat="false" ht="15" hidden="false" customHeight="false" outlineLevel="0" collapsed="false">
      <c r="B37" s="37" t="s">
        <v>62</v>
      </c>
      <c r="C37" s="50" t="n">
        <f aca="false">IFERROR(AVERAGEIFS('Patient Data'!$J$2:$J$181,'Patient Data'!$G$2:$G$181,$B37,'Patient Data'!$F$2:$F$181,C$34),0)</f>
        <v>56.3333333333333</v>
      </c>
      <c r="D37" s="50" t="n">
        <f aca="false">IFERROR(AVERAGEIFS('Patient Data'!$J$2:$J$181,'Patient Data'!$G$2:$G$181,$B37,'Patient Data'!$F$2:$F$181,D$34),0)</f>
        <v>55.5</v>
      </c>
      <c r="E37" s="50" t="n">
        <f aca="false">IFERROR(AVERAGEIFS('Patient Data'!$J$2:$J$181,'Patient Data'!$G$2:$G$181,$B37,'Patient Data'!$F$2:$F$181,E$34),0)</f>
        <v>41.8</v>
      </c>
      <c r="F37" s="50" t="n">
        <f aca="false">IFERROR(AVERAGEIFS('Patient Data'!$J$2:$J$181,'Patient Data'!$G$2:$G$181,$B37,'Patient Data'!$F$2:$F$181,F$34),0)</f>
        <v>42.8571428571429</v>
      </c>
      <c r="G37" s="50" t="n">
        <f aca="false">IFERROR(AVERAGEIFS('Patient Data'!$J$2:$J$181,'Patient Data'!$G$2:$G$181,$B37,'Patient Data'!$F$2:$F$181,G$34),0)</f>
        <v>47</v>
      </c>
      <c r="H37" s="51" t="n">
        <f aca="false">AVERAGEIFS('Patient Data'!$J$2:$J$181,'Patient Data'!$G$2:$G$181,$B37)</f>
        <v>49</v>
      </c>
    </row>
    <row r="38" customFormat="false" ht="15" hidden="false" customHeight="false" outlineLevel="0" collapsed="false">
      <c r="B38" s="37" t="s">
        <v>64</v>
      </c>
      <c r="C38" s="50" t="n">
        <f aca="false">IFERROR(AVERAGEIFS('Patient Data'!$J$2:$J$181,'Patient Data'!$G$2:$G$181,$B38,'Patient Data'!$F$2:$F$181,C$34),0)</f>
        <v>36.3846153846154</v>
      </c>
      <c r="D38" s="50" t="n">
        <f aca="false">IFERROR(AVERAGEIFS('Patient Data'!$J$2:$J$181,'Patient Data'!$G$2:$G$181,$B38,'Patient Data'!$F$2:$F$181,D$34),0)</f>
        <v>41</v>
      </c>
      <c r="E38" s="50" t="n">
        <f aca="false">IFERROR(AVERAGEIFS('Patient Data'!$J$2:$J$181,'Patient Data'!$G$2:$G$181,$B38,'Patient Data'!$F$2:$F$181,E$34),0)</f>
        <v>29.3076923076923</v>
      </c>
      <c r="F38" s="50" t="n">
        <f aca="false">IFERROR(AVERAGEIFS('Patient Data'!$J$2:$J$181,'Patient Data'!$G$2:$G$181,$B38,'Patient Data'!$F$2:$F$181,F$34),0)</f>
        <v>38.4</v>
      </c>
      <c r="G38" s="50" t="n">
        <f aca="false">IFERROR(AVERAGEIFS('Patient Data'!$J$2:$J$181,'Patient Data'!$G$2:$G$181,$B38,'Patient Data'!$F$2:$F$181,G$34),0)</f>
        <v>37</v>
      </c>
      <c r="H38" s="51" t="n">
        <f aca="false">AVERAGEIFS('Patient Data'!$J$2:$J$181,'Patient Data'!$G$2:$G$181,$B38)</f>
        <v>34.8292682926829</v>
      </c>
    </row>
    <row r="39" customFormat="false" ht="15" hidden="false" customHeight="false" outlineLevel="0" collapsed="false">
      <c r="B39" s="37" t="s">
        <v>66</v>
      </c>
      <c r="C39" s="50" t="n">
        <f aca="false">IFERROR(AVERAGEIFS('Patient Data'!$J$2:$J$181,'Patient Data'!$G$2:$G$181,$B39,'Patient Data'!$F$2:$F$181,C$34),0)</f>
        <v>50.1666666666667</v>
      </c>
      <c r="D39" s="50" t="n">
        <f aca="false">IFERROR(AVERAGEIFS('Patient Data'!$J$2:$J$181,'Patient Data'!$G$2:$G$181,$B39,'Patient Data'!$F$2:$F$181,D$34),0)</f>
        <v>25.5</v>
      </c>
      <c r="E39" s="50" t="n">
        <f aca="false">IFERROR(AVERAGEIFS('Patient Data'!$J$2:$J$181,'Patient Data'!$G$2:$G$181,$B39,'Patient Data'!$F$2:$F$181,E$34),0)</f>
        <v>33.8571428571429</v>
      </c>
      <c r="F39" s="50" t="n">
        <f aca="false">IFERROR(AVERAGEIFS('Patient Data'!$J$2:$J$181,'Patient Data'!$G$2:$G$181,$B39,'Patient Data'!$F$2:$F$181,F$34),0)</f>
        <v>29.5714285714286</v>
      </c>
      <c r="G39" s="50" t="n">
        <f aca="false">IFERROR(AVERAGEIFS('Patient Data'!$J$2:$J$181,'Patient Data'!$G$2:$G$181,$B39,'Patient Data'!$F$2:$F$181,G$34),0)</f>
        <v>39.625</v>
      </c>
      <c r="H39" s="51" t="n">
        <f aca="false">AVERAGEIFS('Patient Data'!$J$2:$J$181,'Patient Data'!$G$2:$G$181,$B39)</f>
        <v>37.1</v>
      </c>
    </row>
    <row r="40" customFormat="false" ht="15" hidden="false" customHeight="false" outlineLevel="0" collapsed="false">
      <c r="B40" s="37" t="s">
        <v>68</v>
      </c>
      <c r="C40" s="50" t="n">
        <f aca="false">IFERROR(AVERAGEIFS('Patient Data'!$J$2:$J$181,'Patient Data'!$G$2:$G$181,$B40,'Patient Data'!$F$2:$F$181,C$34),0)</f>
        <v>77.5</v>
      </c>
      <c r="D40" s="50" t="n">
        <f aca="false">IFERROR(AVERAGEIFS('Patient Data'!$J$2:$J$181,'Patient Data'!$G$2:$G$181,$B40,'Patient Data'!$F$2:$F$181,D$34),0)</f>
        <v>53.2</v>
      </c>
      <c r="E40" s="50" t="n">
        <f aca="false">IFERROR(AVERAGEIFS('Patient Data'!$J$2:$J$181,'Patient Data'!$G$2:$G$181,$B40,'Patient Data'!$F$2:$F$181,E$34),0)</f>
        <v>70.3333333333333</v>
      </c>
      <c r="F40" s="50" t="n">
        <f aca="false">IFERROR(AVERAGEIFS('Patient Data'!$J$2:$J$181,'Patient Data'!$G$2:$G$181,$B40,'Patient Data'!$F$2:$F$181,F$34),0)</f>
        <v>69</v>
      </c>
      <c r="G40" s="50" t="n">
        <f aca="false">IFERROR(AVERAGEIFS('Patient Data'!$J$2:$J$181,'Patient Data'!$G$2:$G$181,$B40,'Patient Data'!$F$2:$F$181,G$34),0)</f>
        <v>51.25</v>
      </c>
      <c r="H40" s="51" t="n">
        <f aca="false">AVERAGEIFS('Patient Data'!$J$2:$J$181,'Patient Data'!$G$2:$G$181,$B40)</f>
        <v>60.4</v>
      </c>
    </row>
    <row r="42" customFormat="false" ht="15" hidden="false" customHeight="false" outlineLevel="0" collapsed="false">
      <c r="B42" s="10" t="s">
        <v>89</v>
      </c>
      <c r="C42" s="10"/>
      <c r="D42" s="10"/>
      <c r="E42" s="10"/>
      <c r="F42" s="10"/>
      <c r="G42" s="10"/>
      <c r="H42" s="10"/>
      <c r="I42" s="10"/>
      <c r="J42" s="10"/>
    </row>
    <row r="43" customFormat="false" ht="23.85" hidden="false" customHeight="false" outlineLevel="0" collapsed="false">
      <c r="B43" s="29" t="s">
        <v>36</v>
      </c>
      <c r="C43" s="29" t="s">
        <v>37</v>
      </c>
      <c r="D43" s="29" t="s">
        <v>38</v>
      </c>
      <c r="E43" s="29" t="s">
        <v>39</v>
      </c>
      <c r="F43" s="29" t="s">
        <v>90</v>
      </c>
      <c r="G43" s="29" t="s">
        <v>91</v>
      </c>
    </row>
    <row r="44" customFormat="false" ht="15" hidden="false" customHeight="false" outlineLevel="0" collapsed="false">
      <c r="A44" s="30" t="n">
        <v>1</v>
      </c>
      <c r="B44" s="37" t="s">
        <v>42</v>
      </c>
      <c r="C44" s="32" t="n">
        <f aca="false">COUNTIFS('Patient Data'!$Q$2:$Q$181,$A44)</f>
        <v>14</v>
      </c>
      <c r="D44" s="33" t="n">
        <f aca="false">AVERAGEIFS('Patient Data'!$J$2:$J$181,'Patient Data'!$Q$2:$Q$181,$A44)</f>
        <v>45.5714285714286</v>
      </c>
      <c r="E44" s="34" t="n">
        <f aca="false">AVERAGEIFS('Patient Data'!$O$2:$O$181,'Patient Data'!$Q$2:$Q$181,$A44)</f>
        <v>4.07142857142857</v>
      </c>
      <c r="F44" s="38" t="n">
        <f aca="false">SUMIFS('Patient Data'!$L$2:$L$181,'Patient Data'!$Q$2:$Q$181,$A44)</f>
        <v>1180231</v>
      </c>
      <c r="G44" s="52"/>
    </row>
    <row r="45" customFormat="false" ht="15" hidden="false" customHeight="false" outlineLevel="0" collapsed="false">
      <c r="A45" s="30" t="n">
        <v>2</v>
      </c>
      <c r="B45" s="37" t="s">
        <v>44</v>
      </c>
      <c r="C45" s="32" t="n">
        <f aca="false">COUNTIFS('Patient Data'!$Q$2:$Q$181,$A45)</f>
        <v>17</v>
      </c>
      <c r="D45" s="33" t="n">
        <f aca="false">AVERAGEIFS('Patient Data'!$J$2:$J$181,'Patient Data'!$Q$2:$Q$181,$A45)</f>
        <v>40.3529411764706</v>
      </c>
      <c r="E45" s="34" t="n">
        <f aca="false">AVERAGEIFS('Patient Data'!$O$2:$O$181,'Patient Data'!$Q$2:$Q$181,$A45)</f>
        <v>4.70588235294118</v>
      </c>
      <c r="F45" s="38" t="n">
        <f aca="false">SUMIFS('Patient Data'!$L$2:$L$181,'Patient Data'!$Q$2:$Q$181,$A45)</f>
        <v>1514699</v>
      </c>
      <c r="G45" s="52" t="n">
        <f aca="false">C45/C44-1</f>
        <v>0.214285714285714</v>
      </c>
    </row>
    <row r="46" customFormat="false" ht="15" hidden="false" customHeight="false" outlineLevel="0" collapsed="false">
      <c r="A46" s="30" t="n">
        <v>3</v>
      </c>
      <c r="B46" s="37" t="s">
        <v>46</v>
      </c>
      <c r="C46" s="32" t="n">
        <f aca="false">COUNTIFS('Patient Data'!$Q$2:$Q$181,$A46)</f>
        <v>22</v>
      </c>
      <c r="D46" s="33" t="n">
        <f aca="false">AVERAGEIFS('Patient Data'!$J$2:$J$181,'Patient Data'!$Q$2:$Q$181,$A46)</f>
        <v>45.2727272727273</v>
      </c>
      <c r="E46" s="34" t="n">
        <f aca="false">AVERAGEIFS('Patient Data'!$O$2:$O$181,'Patient Data'!$Q$2:$Q$181,$A46)</f>
        <v>4.31818181818182</v>
      </c>
      <c r="F46" s="38" t="n">
        <f aca="false">SUMIFS('Patient Data'!$L$2:$L$181,'Patient Data'!$Q$2:$Q$181,$A46)</f>
        <v>1764642</v>
      </c>
      <c r="G46" s="52" t="n">
        <f aca="false">C46/C45-1</f>
        <v>0.294117647058824</v>
      </c>
    </row>
    <row r="47" customFormat="false" ht="15" hidden="false" customHeight="false" outlineLevel="0" collapsed="false">
      <c r="A47" s="30" t="n">
        <v>4</v>
      </c>
      <c r="B47" s="37" t="s">
        <v>48</v>
      </c>
      <c r="C47" s="32" t="n">
        <f aca="false">COUNTIFS('Patient Data'!$Q$2:$Q$181,$A47)</f>
        <v>15</v>
      </c>
      <c r="D47" s="33" t="n">
        <f aca="false">AVERAGEIFS('Patient Data'!$J$2:$J$181,'Patient Data'!$Q$2:$Q$181,$A47)</f>
        <v>59.6</v>
      </c>
      <c r="E47" s="34" t="n">
        <f aca="false">AVERAGEIFS('Patient Data'!$O$2:$O$181,'Patient Data'!$Q$2:$Q$181,$A47)</f>
        <v>4</v>
      </c>
      <c r="F47" s="38" t="n">
        <f aca="false">SUMIFS('Patient Data'!$L$2:$L$181,'Patient Data'!$Q$2:$Q$181,$A47)</f>
        <v>1234390</v>
      </c>
      <c r="G47" s="52" t="n">
        <f aca="false">C47/C46-1</f>
        <v>-0.318181818181818</v>
      </c>
    </row>
    <row r="48" customFormat="false" ht="15" hidden="false" customHeight="false" outlineLevel="0" collapsed="false">
      <c r="A48" s="30" t="n">
        <v>5</v>
      </c>
      <c r="B48" s="37" t="s">
        <v>50</v>
      </c>
      <c r="C48" s="32" t="n">
        <f aca="false">COUNTIFS('Patient Data'!$Q$2:$Q$181,$A48)</f>
        <v>26</v>
      </c>
      <c r="D48" s="33" t="n">
        <f aca="false">AVERAGEIFS('Patient Data'!$J$2:$J$181,'Patient Data'!$Q$2:$Q$181,$A48)</f>
        <v>55.2692307692308</v>
      </c>
      <c r="E48" s="34" t="n">
        <f aca="false">AVERAGEIFS('Patient Data'!$O$2:$O$181,'Patient Data'!$Q$2:$Q$181,$A48)</f>
        <v>4.30769230769231</v>
      </c>
      <c r="F48" s="38" t="n">
        <f aca="false">SUMIFS('Patient Data'!$L$2:$L$181,'Patient Data'!$Q$2:$Q$181,$A48)</f>
        <v>2545525</v>
      </c>
      <c r="G48" s="52" t="n">
        <f aca="false">C48/C47-1</f>
        <v>0.733333333333333</v>
      </c>
    </row>
    <row r="49" customFormat="false" ht="15" hidden="false" customHeight="false" outlineLevel="0" collapsed="false">
      <c r="A49" s="30" t="n">
        <v>6</v>
      </c>
      <c r="B49" s="37" t="s">
        <v>51</v>
      </c>
      <c r="C49" s="32" t="n">
        <f aca="false">COUNTIFS('Patient Data'!$Q$2:$Q$181,$A49)</f>
        <v>18</v>
      </c>
      <c r="D49" s="33" t="n">
        <f aca="false">AVERAGEIFS('Patient Data'!$J$2:$J$181,'Patient Data'!$Q$2:$Q$181,$A49)</f>
        <v>56</v>
      </c>
      <c r="E49" s="34" t="n">
        <f aca="false">AVERAGEIFS('Patient Data'!$O$2:$O$181,'Patient Data'!$Q$2:$Q$181,$A49)</f>
        <v>4.11111111111111</v>
      </c>
      <c r="F49" s="38" t="n">
        <f aca="false">SUMIFS('Patient Data'!$L$2:$L$181,'Patient Data'!$Q$2:$Q$181,$A49)</f>
        <v>1656458</v>
      </c>
      <c r="G49" s="52" t="n">
        <f aca="false">C49/C48-1</f>
        <v>-0.307692307692308</v>
      </c>
    </row>
    <row r="50" customFormat="false" ht="15" hidden="false" customHeight="false" outlineLevel="0" collapsed="false">
      <c r="A50" s="30" t="n">
        <v>7</v>
      </c>
      <c r="B50" s="37" t="s">
        <v>52</v>
      </c>
      <c r="C50" s="32" t="n">
        <f aca="false">COUNTIFS('Patient Data'!$Q$2:$Q$181,$A50)</f>
        <v>21</v>
      </c>
      <c r="D50" s="33" t="n">
        <f aca="false">AVERAGEIFS('Patient Data'!$J$2:$J$181,'Patient Data'!$Q$2:$Q$181,$A50)</f>
        <v>44.5238095238095</v>
      </c>
      <c r="E50" s="34" t="n">
        <f aca="false">AVERAGEIFS('Patient Data'!$O$2:$O$181,'Patient Data'!$Q$2:$Q$181,$A50)</f>
        <v>4.52380952380952</v>
      </c>
      <c r="F50" s="38" t="n">
        <f aca="false">SUMIFS('Patient Data'!$L$2:$L$181,'Patient Data'!$Q$2:$Q$181,$A50)</f>
        <v>1669584</v>
      </c>
      <c r="G50" s="52" t="n">
        <f aca="false">C50/C49-1</f>
        <v>0.166666666666667</v>
      </c>
    </row>
    <row r="51" customFormat="false" ht="15" hidden="false" customHeight="false" outlineLevel="0" collapsed="false">
      <c r="A51" s="30" t="n">
        <v>8</v>
      </c>
      <c r="B51" s="37" t="s">
        <v>53</v>
      </c>
      <c r="C51" s="32" t="n">
        <f aca="false">COUNTIFS('Patient Data'!$Q$2:$Q$181,$A51)</f>
        <v>25</v>
      </c>
      <c r="D51" s="33" t="n">
        <f aca="false">AVERAGEIFS('Patient Data'!$J$2:$J$181,'Patient Data'!$Q$2:$Q$181,$A51)</f>
        <v>44.44</v>
      </c>
      <c r="E51" s="34" t="n">
        <f aca="false">AVERAGEIFS('Patient Data'!$O$2:$O$181,'Patient Data'!$Q$2:$Q$181,$A51)</f>
        <v>4.4</v>
      </c>
      <c r="F51" s="38" t="n">
        <f aca="false">SUMIFS('Patient Data'!$L$2:$L$181,'Patient Data'!$Q$2:$Q$181,$A51)</f>
        <v>2495044</v>
      </c>
      <c r="G51" s="52" t="n">
        <f aca="false">C51/C50-1</f>
        <v>0.19047619047619</v>
      </c>
    </row>
    <row r="52" customFormat="false" ht="15" hidden="false" customHeight="false" outlineLevel="0" collapsed="false">
      <c r="A52" s="30" t="n">
        <v>9</v>
      </c>
      <c r="B52" s="37" t="s">
        <v>54</v>
      </c>
      <c r="C52" s="32" t="n">
        <f aca="false">COUNTIFS('Patient Data'!$Q$2:$Q$181,$A52)</f>
        <v>22</v>
      </c>
      <c r="D52" s="33" t="n">
        <f aca="false">AVERAGEIFS('Patient Data'!$J$2:$J$181,'Patient Data'!$Q$2:$Q$181,$A52)</f>
        <v>43.4545454545455</v>
      </c>
      <c r="E52" s="34" t="n">
        <f aca="false">AVERAGEIFS('Patient Data'!$O$2:$O$181,'Patient Data'!$Q$2:$Q$181,$A52)</f>
        <v>4.45454545454545</v>
      </c>
      <c r="F52" s="38" t="n">
        <f aca="false">SUMIFS('Patient Data'!$L$2:$L$181,'Patient Data'!$Q$2:$Q$181,$A52)</f>
        <v>1880825</v>
      </c>
      <c r="G52" s="52" t="n">
        <f aca="false">C52/C51-1</f>
        <v>-0.12</v>
      </c>
    </row>
    <row r="53" customFormat="false" ht="15" hidden="false" customHeight="false" outlineLevel="0" collapsed="false">
      <c r="B53" s="40" t="s">
        <v>92</v>
      </c>
      <c r="C53" s="41" t="n">
        <f aca="false">SUM(C44:C52)</f>
        <v>180</v>
      </c>
      <c r="D53" s="42" t="n">
        <f aca="false">AVERAGE('Patient Data'!$J$2:$J$181)</f>
        <v>48.1166666666667</v>
      </c>
      <c r="E53" s="44" t="n">
        <f aca="false">AVERAGE('Patient Data'!$O$2:$O$181)</f>
        <v>4.33888888888889</v>
      </c>
      <c r="F53" s="45" t="n">
        <f aca="false">SUM(F44:F52)</f>
        <v>15941398</v>
      </c>
    </row>
    <row r="55" customFormat="false" ht="15" hidden="false" customHeight="false" outlineLevel="0" collapsed="false">
      <c r="B55" s="10" t="s">
        <v>93</v>
      </c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false" outlineLevel="0" collapsed="false">
      <c r="B56" s="29" t="s">
        <v>94</v>
      </c>
      <c r="C56" s="29" t="s">
        <v>37</v>
      </c>
      <c r="D56" s="29" t="s">
        <v>80</v>
      </c>
      <c r="E56" s="29" t="s">
        <v>38</v>
      </c>
      <c r="F56" s="29" t="s">
        <v>73</v>
      </c>
      <c r="G56" s="29" t="s">
        <v>39</v>
      </c>
    </row>
    <row r="57" customFormat="false" ht="15" hidden="false" customHeight="false" outlineLevel="0" collapsed="false">
      <c r="B57" s="37" t="s">
        <v>95</v>
      </c>
      <c r="C57" s="32" t="n">
        <f aca="false">COUNTIFS('Patient Data'!$R$2:$R$181,$B57)</f>
        <v>49</v>
      </c>
      <c r="D57" s="35" t="n">
        <f aca="false">C57/COUNTA('Patient Data'!$A$2:$A$181)</f>
        <v>0.272222222222222</v>
      </c>
      <c r="E57" s="33" t="n">
        <f aca="false">AVERAGEIFS('Patient Data'!$J$2:$J$181,'Patient Data'!$R$2:$R$181,$B57)</f>
        <v>41.6122448979592</v>
      </c>
      <c r="F57" s="38" t="n">
        <f aca="false">AVERAGEIFS('Patient Data'!$L$2:$L$181,'Patient Data'!$R$2:$R$181,$B57)</f>
        <v>71208.2040816327</v>
      </c>
      <c r="G57" s="34" t="n">
        <f aca="false">AVERAGEIFS('Patient Data'!$O$2:$O$181,'Patient Data'!$R$2:$R$181,$B57)</f>
        <v>4.53061224489796</v>
      </c>
    </row>
    <row r="58" customFormat="false" ht="15" hidden="false" customHeight="false" outlineLevel="0" collapsed="false">
      <c r="B58" s="37" t="s">
        <v>96</v>
      </c>
      <c r="C58" s="32" t="n">
        <f aca="false">COUNTIFS('Patient Data'!$R$2:$R$181,$B58)</f>
        <v>27</v>
      </c>
      <c r="D58" s="35" t="n">
        <f aca="false">C58/COUNTA('Patient Data'!$A$2:$A$181)</f>
        <v>0.15</v>
      </c>
      <c r="E58" s="33" t="n">
        <f aca="false">AVERAGEIFS('Patient Data'!$J$2:$J$181,'Patient Data'!$R$2:$R$181,$B58)</f>
        <v>54.6666666666667</v>
      </c>
      <c r="F58" s="38" t="n">
        <f aca="false">AVERAGEIFS('Patient Data'!$L$2:$L$181,'Patient Data'!$R$2:$R$181,$B58)</f>
        <v>84110.5185185185</v>
      </c>
      <c r="G58" s="34" t="n">
        <f aca="false">AVERAGEIFS('Patient Data'!$O$2:$O$181,'Patient Data'!$R$2:$R$181,$B58)</f>
        <v>4.11111111111111</v>
      </c>
    </row>
    <row r="59" customFormat="false" ht="15" hidden="false" customHeight="false" outlineLevel="0" collapsed="false">
      <c r="B59" s="37" t="s">
        <v>97</v>
      </c>
      <c r="C59" s="32" t="n">
        <f aca="false">COUNTIFS('Patient Data'!$R$2:$R$181,$B59)</f>
        <v>46</v>
      </c>
      <c r="D59" s="35" t="n">
        <f aca="false">C59/COUNTA('Patient Data'!$A$2:$A$181)</f>
        <v>0.255555555555556</v>
      </c>
      <c r="E59" s="33" t="n">
        <f aca="false">AVERAGEIFS('Patient Data'!$J$2:$J$181,'Patient Data'!$R$2:$R$181,$B59)</f>
        <v>44.5217391304348</v>
      </c>
      <c r="F59" s="38" t="n">
        <f aca="false">AVERAGEIFS('Patient Data'!$L$2:$L$181,'Patient Data'!$R$2:$R$181,$B59)</f>
        <v>90791.152173913</v>
      </c>
      <c r="G59" s="34" t="n">
        <f aca="false">AVERAGEIFS('Patient Data'!$O$2:$O$181,'Patient Data'!$R$2:$R$181,$B59)</f>
        <v>4.45652173913044</v>
      </c>
    </row>
    <row r="60" customFormat="false" ht="15" hidden="false" customHeight="false" outlineLevel="0" collapsed="false">
      <c r="B60" s="37" t="s">
        <v>98</v>
      </c>
      <c r="C60" s="32" t="n">
        <f aca="false">COUNTIFS('Patient Data'!$R$2:$R$181,$B60)</f>
        <v>44</v>
      </c>
      <c r="D60" s="35" t="n">
        <f aca="false">C60/COUNTA('Patient Data'!$A$2:$A$181)</f>
        <v>0.244444444444444</v>
      </c>
      <c r="E60" s="33" t="n">
        <f aca="false">AVERAGEIFS('Patient Data'!$J$2:$J$181,'Patient Data'!$R$2:$R$181,$B60)</f>
        <v>53.5454545454546</v>
      </c>
      <c r="F60" s="38" t="n">
        <f aca="false">AVERAGEIFS('Patient Data'!$L$2:$L$181,'Patient Data'!$R$2:$R$181,$B60)</f>
        <v>99678.75</v>
      </c>
      <c r="G60" s="34" t="n">
        <f aca="false">AVERAGEIFS('Patient Data'!$O$2:$O$181,'Patient Data'!$R$2:$R$181,$B60)</f>
        <v>4.11363636363636</v>
      </c>
    </row>
    <row r="61" customFormat="false" ht="15" hidden="false" customHeight="false" outlineLevel="0" collapsed="false">
      <c r="B61" s="37" t="s">
        <v>99</v>
      </c>
      <c r="C61" s="32" t="n">
        <f aca="false">COUNTIFS('Patient Data'!$R$2:$R$181,$B61)</f>
        <v>14</v>
      </c>
      <c r="D61" s="35" t="n">
        <f aca="false">C61/COUNTA('Patient Data'!$A$2:$A$181)</f>
        <v>0.0777777777777778</v>
      </c>
      <c r="E61" s="33" t="n">
        <f aca="false">AVERAGEIFS('Patient Data'!$J$2:$J$181,'Patient Data'!$R$2:$R$181,$B61)</f>
        <v>53</v>
      </c>
      <c r="F61" s="38" t="n">
        <f aca="false">AVERAGEIFS('Patient Data'!$L$2:$L$181,'Patient Data'!$R$2:$R$181,$B61)</f>
        <v>115639.571428571</v>
      </c>
      <c r="G61" s="34" t="n">
        <f aca="false">AVERAGEIFS('Patient Data'!$O$2:$O$181,'Patient Data'!$R$2:$R$181,$B61)</f>
        <v>4.42857142857143</v>
      </c>
    </row>
    <row r="63" customFormat="false" ht="15" hidden="false" customHeight="false" outlineLevel="0" collapsed="false">
      <c r="B63" s="10" t="s">
        <v>100</v>
      </c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false" outlineLevel="0" collapsed="false">
      <c r="B64" s="29" t="s">
        <v>101</v>
      </c>
      <c r="C64" s="29" t="s">
        <v>37</v>
      </c>
      <c r="D64" s="29" t="s">
        <v>73</v>
      </c>
      <c r="E64" s="29" t="s">
        <v>38</v>
      </c>
      <c r="F64" s="29" t="s">
        <v>102</v>
      </c>
      <c r="G64" s="29" t="s">
        <v>39</v>
      </c>
    </row>
    <row r="65" customFormat="false" ht="15" hidden="false" customHeight="false" outlineLevel="0" collapsed="false">
      <c r="B65" s="37" t="s">
        <v>103</v>
      </c>
      <c r="C65" s="32" t="n">
        <f aca="false">COUNTIFS('Patient Data'!$I$2:$I$181,$B65)</f>
        <v>14</v>
      </c>
      <c r="D65" s="38" t="n">
        <f aca="false">AVERAGEIFS('Patient Data'!$L$2:$L$181,'Patient Data'!$I$2:$I$181,$B65)</f>
        <v>84204.7142857143</v>
      </c>
      <c r="E65" s="33" t="n">
        <f aca="false">AVERAGEIFS('Patient Data'!$J$2:$J$181,'Patient Data'!$I$2:$I$181,$B65)</f>
        <v>62</v>
      </c>
      <c r="F65" s="33" t="n">
        <f aca="false">AVERAGEIFS('Patient Data'!$K$2:$K$181,'Patient Data'!$I$2:$I$181,$B65)</f>
        <v>0.685714285714286</v>
      </c>
      <c r="G65" s="34" t="n">
        <f aca="false">AVERAGEIFS('Patient Data'!$O$2:$O$181,'Patient Data'!$I$2:$I$181,$B65)</f>
        <v>4</v>
      </c>
    </row>
    <row r="66" customFormat="false" ht="15" hidden="false" customHeight="false" outlineLevel="0" collapsed="false">
      <c r="B66" s="37" t="s">
        <v>104</v>
      </c>
      <c r="C66" s="32" t="n">
        <f aca="false">COUNTIFS('Patient Data'!$I$2:$I$181,$B66)</f>
        <v>24</v>
      </c>
      <c r="D66" s="38" t="n">
        <f aca="false">AVERAGEIFS('Patient Data'!$L$2:$L$181,'Patient Data'!$I$2:$I$181,$B66)</f>
        <v>90034.5416666667</v>
      </c>
      <c r="E66" s="33" t="n">
        <f aca="false">AVERAGEIFS('Patient Data'!$J$2:$J$181,'Patient Data'!$I$2:$I$181,$B66)</f>
        <v>47.625</v>
      </c>
      <c r="F66" s="33" t="n">
        <f aca="false">AVERAGEIFS('Patient Data'!$K$2:$K$181,'Patient Data'!$I$2:$I$181,$B66)</f>
        <v>1.32916666666667</v>
      </c>
      <c r="G66" s="34" t="n">
        <f aca="false">AVERAGEIFS('Patient Data'!$O$2:$O$181,'Patient Data'!$I$2:$I$181,$B66)</f>
        <v>4.375</v>
      </c>
    </row>
    <row r="67" customFormat="false" ht="15" hidden="false" customHeight="false" outlineLevel="0" collapsed="false">
      <c r="B67" s="37" t="s">
        <v>105</v>
      </c>
      <c r="C67" s="32" t="n">
        <f aca="false">COUNTIFS('Patient Data'!$I$2:$I$181,$B67)</f>
        <v>14</v>
      </c>
      <c r="D67" s="38" t="n">
        <f aca="false">AVERAGEIFS('Patient Data'!$L$2:$L$181,'Patient Data'!$I$2:$I$181,$B67)</f>
        <v>69518.5</v>
      </c>
      <c r="E67" s="33" t="n">
        <f aca="false">AVERAGEIFS('Patient Data'!$J$2:$J$181,'Patient Data'!$I$2:$I$181,$B67)</f>
        <v>52.0714285714286</v>
      </c>
      <c r="F67" s="33" t="n">
        <f aca="false">AVERAGEIFS('Patient Data'!$K$2:$K$181,'Patient Data'!$I$2:$I$181,$B67)</f>
        <v>1.23571428571429</v>
      </c>
      <c r="G67" s="34" t="n">
        <f aca="false">AVERAGEIFS('Patient Data'!$O$2:$O$181,'Patient Data'!$I$2:$I$181,$B67)</f>
        <v>4.28571428571429</v>
      </c>
    </row>
    <row r="68" customFormat="false" ht="15" hidden="false" customHeight="false" outlineLevel="0" collapsed="false">
      <c r="B68" s="37" t="s">
        <v>106</v>
      </c>
      <c r="C68" s="32" t="n">
        <f aca="false">COUNTIFS('Patient Data'!$I$2:$I$181,$B68)</f>
        <v>11</v>
      </c>
      <c r="D68" s="38" t="n">
        <f aca="false">AVERAGEIFS('Patient Data'!$L$2:$L$181,'Patient Data'!$I$2:$I$181,$B68)</f>
        <v>85512.0909090909</v>
      </c>
      <c r="E68" s="33" t="n">
        <f aca="false">AVERAGEIFS('Patient Data'!$J$2:$J$181,'Patient Data'!$I$2:$I$181,$B68)</f>
        <v>46.8181818181818</v>
      </c>
      <c r="F68" s="33" t="n">
        <f aca="false">AVERAGEIFS('Patient Data'!$K$2:$K$181,'Patient Data'!$I$2:$I$181,$B68)</f>
        <v>0.554545454545455</v>
      </c>
      <c r="G68" s="34" t="n">
        <f aca="false">AVERAGEIFS('Patient Data'!$O$2:$O$181,'Patient Data'!$I$2:$I$181,$B68)</f>
        <v>4.18181818181818</v>
      </c>
    </row>
    <row r="69" customFormat="false" ht="15" hidden="false" customHeight="false" outlineLevel="0" collapsed="false">
      <c r="B69" s="37" t="s">
        <v>107</v>
      </c>
      <c r="C69" s="32" t="n">
        <f aca="false">COUNTIFS('Patient Data'!$I$2:$I$181,$B69)</f>
        <v>39</v>
      </c>
      <c r="D69" s="38" t="n">
        <f aca="false">AVERAGEIFS('Patient Data'!$L$2:$L$181,'Patient Data'!$I$2:$I$181,$B69)</f>
        <v>94592.4871794872</v>
      </c>
      <c r="E69" s="33" t="n">
        <f aca="false">AVERAGEIFS('Patient Data'!$J$2:$J$181,'Patient Data'!$I$2:$I$181,$B69)</f>
        <v>41.8461538461539</v>
      </c>
      <c r="F69" s="33" t="n">
        <f aca="false">AVERAGEIFS('Patient Data'!$K$2:$K$181,'Patient Data'!$I$2:$I$181,$B69)</f>
        <v>1.69487179487179</v>
      </c>
      <c r="G69" s="34" t="n">
        <f aca="false">AVERAGEIFS('Patient Data'!$O$2:$O$181,'Patient Data'!$I$2:$I$181,$B69)</f>
        <v>4.38461538461539</v>
      </c>
    </row>
    <row r="70" customFormat="false" ht="15" hidden="false" customHeight="false" outlineLevel="0" collapsed="false">
      <c r="B70" s="37" t="s">
        <v>108</v>
      </c>
      <c r="C70" s="32" t="n">
        <f aca="false">COUNTIFS('Patient Data'!$I$2:$I$181,$B70)</f>
        <v>50</v>
      </c>
      <c r="D70" s="38" t="n">
        <f aca="false">AVERAGEIFS('Patient Data'!$L$2:$L$181,'Patient Data'!$I$2:$I$181,$B70)</f>
        <v>90014.28</v>
      </c>
      <c r="E70" s="33" t="n">
        <f aca="false">AVERAGEIFS('Patient Data'!$J$2:$J$181,'Patient Data'!$I$2:$I$181,$B70)</f>
        <v>49.24</v>
      </c>
      <c r="F70" s="33" t="n">
        <f aca="false">AVERAGEIFS('Patient Data'!$K$2:$K$181,'Patient Data'!$I$2:$I$181,$B70)</f>
        <v>1.444</v>
      </c>
      <c r="G70" s="34" t="n">
        <f aca="false">AVERAGEIFS('Patient Data'!$O$2:$O$181,'Patient Data'!$I$2:$I$181,$B70)</f>
        <v>4.28</v>
      </c>
    </row>
    <row r="71" customFormat="false" ht="15" hidden="false" customHeight="false" outlineLevel="0" collapsed="false">
      <c r="B71" s="37" t="s">
        <v>109</v>
      </c>
      <c r="C71" s="32" t="n">
        <f aca="false">COUNTIFS('Patient Data'!$I$2:$I$181,$B71)</f>
        <v>28</v>
      </c>
      <c r="D71" s="38" t="n">
        <f aca="false">AVERAGEIFS('Patient Data'!$L$2:$L$181,'Patient Data'!$I$2:$I$181,$B71)</f>
        <v>89213.9285714286</v>
      </c>
      <c r="E71" s="33" t="n">
        <f aca="false">AVERAGEIFS('Patient Data'!$J$2:$J$181,'Patient Data'!$I$2:$I$181,$B71)</f>
        <v>46.8571428571429</v>
      </c>
      <c r="F71" s="33" t="n">
        <f aca="false">AVERAGEIFS('Patient Data'!$K$2:$K$181,'Patient Data'!$I$2:$I$181,$B71)</f>
        <v>2.40357142857143</v>
      </c>
      <c r="G71" s="34" t="n">
        <f aca="false">AVERAGEIFS('Patient Data'!$O$2:$O$181,'Patient Data'!$I$2:$I$181,$B71)</f>
        <v>4.60714285714286</v>
      </c>
    </row>
    <row r="73" customFormat="false" ht="15" hidden="false" customHeight="false" outlineLevel="0" collapsed="false">
      <c r="B73" s="10" t="s">
        <v>110</v>
      </c>
      <c r="C73" s="10"/>
      <c r="D73" s="10"/>
      <c r="E73" s="10"/>
      <c r="F73" s="10"/>
      <c r="G73" s="10"/>
      <c r="H73" s="10"/>
      <c r="I73" s="10"/>
      <c r="J73" s="10"/>
    </row>
    <row r="74" customFormat="false" ht="15" hidden="false" customHeight="false" outlineLevel="0" collapsed="false">
      <c r="B74" s="29" t="s">
        <v>111</v>
      </c>
      <c r="C74" s="29" t="s">
        <v>37</v>
      </c>
      <c r="D74" s="29" t="s">
        <v>38</v>
      </c>
      <c r="E74" s="29" t="s">
        <v>73</v>
      </c>
      <c r="F74" s="29" t="s">
        <v>39</v>
      </c>
    </row>
    <row r="75" customFormat="false" ht="15" hidden="false" customHeight="false" outlineLevel="0" collapsed="false">
      <c r="B75" s="37" t="s">
        <v>58</v>
      </c>
      <c r="C75" s="32" t="n">
        <f aca="false">COUNTIFS('Patient Data'!$H$2:$H$181,$B75)</f>
        <v>53</v>
      </c>
      <c r="D75" s="33" t="n">
        <f aca="false">AVERAGEIFS('Patient Data'!$J$2:$J$181,'Patient Data'!$H$2:$H$181,$B75)</f>
        <v>60.6981132075472</v>
      </c>
      <c r="E75" s="38" t="n">
        <f aca="false">AVERAGEIFS('Patient Data'!$L$2:$L$181,'Patient Data'!$H$2:$H$181,$B75)</f>
        <v>103383.58490566</v>
      </c>
      <c r="F75" s="34" t="n">
        <f aca="false">AVERAGEIFS('Patient Data'!$O$2:$O$181,'Patient Data'!$H$2:$H$181,$B75)</f>
        <v>4.20754716981132</v>
      </c>
    </row>
    <row r="76" customFormat="false" ht="15" hidden="false" customHeight="false" outlineLevel="0" collapsed="false">
      <c r="B76" s="37" t="s">
        <v>112</v>
      </c>
      <c r="C76" s="32" t="n">
        <f aca="false">COUNTIFS('Patient Data'!$H$2:$H$181,$B76)</f>
        <v>31</v>
      </c>
      <c r="D76" s="33" t="n">
        <f aca="false">AVERAGEIFS('Patient Data'!$J$2:$J$181,'Patient Data'!$H$2:$H$181,$B76)</f>
        <v>41.6774193548387</v>
      </c>
      <c r="E76" s="38" t="n">
        <f aca="false">AVERAGEIFS('Patient Data'!$L$2:$L$181,'Patient Data'!$H$2:$H$181,$B76)</f>
        <v>69396.4838709677</v>
      </c>
      <c r="F76" s="34" t="n">
        <f aca="false">AVERAGEIFS('Patient Data'!$O$2:$O$181,'Patient Data'!$H$2:$H$181,$B76)</f>
        <v>4.51612903225807</v>
      </c>
    </row>
    <row r="77" customFormat="false" ht="15" hidden="false" customHeight="false" outlineLevel="0" collapsed="false">
      <c r="B77" s="37" t="s">
        <v>64</v>
      </c>
      <c r="C77" s="32" t="n">
        <f aca="false">COUNTIFS('Patient Data'!$H$2:$H$181,$B77)</f>
        <v>70</v>
      </c>
      <c r="D77" s="33" t="n">
        <f aca="false">AVERAGEIFS('Patient Data'!$J$2:$J$181,'Patient Data'!$H$2:$H$181,$B77)</f>
        <v>42.1714285714286</v>
      </c>
      <c r="E77" s="38" t="n">
        <f aca="false">AVERAGEIFS('Patient Data'!$L$2:$L$181,'Patient Data'!$H$2:$H$181,$B77)</f>
        <v>88745</v>
      </c>
      <c r="F77" s="34" t="n">
        <f aca="false">AVERAGEIFS('Patient Data'!$O$2:$O$181,'Patient Data'!$H$2:$H$181,$B77)</f>
        <v>4.34285714285714</v>
      </c>
    </row>
    <row r="78" customFormat="false" ht="15" hidden="false" customHeight="false" outlineLevel="0" collapsed="false">
      <c r="B78" s="37" t="s">
        <v>113</v>
      </c>
      <c r="C78" s="32" t="n">
        <f aca="false">COUNTIFS('Patient Data'!$H$2:$H$181,$B78)</f>
        <v>26</v>
      </c>
      <c r="D78" s="33" t="n">
        <f aca="false">AVERAGEIFS('Patient Data'!$J$2:$J$181,'Patient Data'!$H$2:$H$181,$B78)</f>
        <v>46.1538461538462</v>
      </c>
      <c r="E78" s="38" t="n">
        <f aca="false">AVERAGEIFS('Patient Data'!$L$2:$L$181,'Patient Data'!$H$2:$H$181,$B78)</f>
        <v>80716.4230769231</v>
      </c>
      <c r="F78" s="34" t="n">
        <f aca="false">AVERAGEIFS('Patient Data'!$O$2:$O$181,'Patient Data'!$H$2:$H$181,$B78)</f>
        <v>4.38461538461539</v>
      </c>
    </row>
  </sheetData>
  <mergeCells count="11">
    <mergeCell ref="B2:J2"/>
    <mergeCell ref="B5:J5"/>
    <mergeCell ref="B16:J16"/>
    <mergeCell ref="B22:C22"/>
    <mergeCell ref="B23:C23"/>
    <mergeCell ref="B25:J25"/>
    <mergeCell ref="B33:J33"/>
    <mergeCell ref="B42:J42"/>
    <mergeCell ref="B55:J55"/>
    <mergeCell ref="B63:J63"/>
    <mergeCell ref="B73:J73"/>
  </mergeCells>
  <conditionalFormatting sqref="J7:J12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D7:D12">
    <cfRule type="colorScale" priority="5">
      <colorScale>
        <cfvo type="min" val="0"/>
        <cfvo type="max" val="0"/>
        <color rgb="FFFFFFFF"/>
        <color rgb="FFF4A3A3"/>
      </colorScale>
    </cfRule>
  </conditionalFormatting>
  <conditionalFormatting sqref="F7:F12">
    <cfRule type="colorScale" priority="6">
      <colorScale>
        <cfvo type="min" val="0"/>
        <cfvo type="max" val="0"/>
        <color rgb="FFF4A3A3"/>
        <color rgb="FFFFFFFF"/>
      </colorScale>
    </cfRule>
  </conditionalFormatting>
  <conditionalFormatting sqref="E18:E21">
    <cfRule type="colorScale" priority="7">
      <colorScale>
        <cfvo type="min" val="0"/>
        <cfvo type="max" val="0"/>
        <color rgb="FFF4A3A3"/>
        <color rgb="FF86D6A8"/>
      </colorScale>
    </cfRule>
  </conditionalFormatting>
  <conditionalFormatting sqref="F27:F31">
    <cfRule type="colorScale" priority="8">
      <colorScale>
        <cfvo type="min" val="0"/>
        <cfvo type="max" val="0"/>
        <color rgb="FFF4A3A3"/>
        <color rgb="FF86D6A8"/>
      </colorScale>
    </cfRule>
  </conditionalFormatting>
  <conditionalFormatting sqref="C35:G40">
    <cfRule type="colorScale" priority="9">
      <colorScale>
        <cfvo type="min" val="0"/>
        <cfvo type="max" val="0"/>
        <color rgb="FFFFFFFF"/>
        <color rgb="FFE8747C"/>
      </colorScale>
    </cfRule>
  </conditionalFormatting>
  <conditionalFormatting sqref="D44:D52">
    <cfRule type="colorScale" priority="10">
      <colorScale>
        <cfvo type="min" val="0"/>
        <cfvo type="max" val="0"/>
        <color rgb="FFFFFFFF"/>
        <color rgb="FFF4A3A3"/>
      </colorScale>
    </cfRule>
  </conditionalFormatting>
  <conditionalFormatting sqref="D57:D61">
    <cfRule type="dataBar" priority="11">
      <dataBar showValue="1" minLength="10" maxLength="90">
        <cfvo type="num" val="0"/>
        <cfvo type="num" val="1"/>
        <color rgb="FF0E7C7B"/>
      </dataBar>
      <extLst>
        <ext xmlns:x14="http://schemas.microsoft.com/office/spreadsheetml/2009/9/main" uri="{B025F937-C7B1-47D3-B67F-A62EFF666E3E}">
          <x14:id>{D024AF3C-D516-4152-87B1-1D9B181E95A0}</x14:id>
        </ext>
      </extLst>
    </cfRule>
  </conditionalFormatting>
  <conditionalFormatting sqref="D65:D71">
    <cfRule type="dataBar" priority="12">
      <dataBar showValue="1" minLength="10" maxLength="90">
        <cfvo type="min" val="0"/>
        <cfvo type="max" val="0"/>
        <color rgb="FFE9B949"/>
      </dataBar>
      <extLst>
        <ext xmlns:x14="http://schemas.microsoft.com/office/spreadsheetml/2009/9/main" uri="{B025F937-C7B1-47D3-B67F-A62EFF666E3E}">
          <x14:id>{951B6AA4-7875-41B0-811F-74C1EF701616}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4AF3C-D516-4152-87B1-1D9B181E95A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7C7B"/>
              <x14:axisColor rgb="FF000000"/>
            </x14:dataBar>
          </x14:cfRule>
          <xm:sqref>D57:D61</xm:sqref>
        </x14:conditionalFormatting>
        <x14:conditionalFormatting xmlns:xm="http://schemas.microsoft.com/office/excel/2006/main">
          <x14:cfRule type="dataBar" id="{951B6AA4-7875-41B0-811F-74C1EF701616}">
            <x14:dataBar minLength="10" maxLength="90" axisPosition="none" gradient="true">
              <x14:cfvo type="min"/>
              <x14:cfvo type="max"/>
              <x14:negativeFillColor rgb="FFE9B949"/>
              <x14:axisColor rgb="FF000000"/>
            </x14:dataBar>
          </x14:cfRule>
          <xm:sqref>D65:D71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B949"/>
    <pageSetUpPr fitToPage="true"/>
  </sheetPr>
  <dimension ref="B2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40"/>
  </cols>
  <sheetData>
    <row r="2" customFormat="false" ht="39.75" hidden="false" customHeight="true" outlineLevel="0" collapsed="false">
      <c r="B2" s="18" t="s">
        <v>114</v>
      </c>
      <c r="C2" s="18"/>
      <c r="D2" s="18"/>
      <c r="E2" s="18"/>
      <c r="F2" s="18"/>
      <c r="G2" s="18"/>
    </row>
    <row r="3" customFormat="false" ht="15" hidden="false" customHeight="false" outlineLevel="0" collapsed="false">
      <c r="B3" s="36" t="s">
        <v>115</v>
      </c>
    </row>
    <row r="4" customFormat="false" ht="15" hidden="false" customHeight="false" outlineLevel="0" collapsed="false">
      <c r="B4" s="10" t="s">
        <v>116</v>
      </c>
      <c r="C4" s="10"/>
      <c r="D4" s="10"/>
      <c r="E4" s="10"/>
      <c r="F4" s="10"/>
      <c r="G4" s="10"/>
    </row>
    <row r="5" customFormat="false" ht="15" hidden="false" customHeight="false" outlineLevel="0" collapsed="false">
      <c r="B5" s="31" t="s">
        <v>117</v>
      </c>
      <c r="C5" s="53" t="n">
        <v>60</v>
      </c>
      <c r="D5" s="47" t="s">
        <v>118</v>
      </c>
    </row>
    <row r="6" customFormat="false" ht="15" hidden="false" customHeight="false" outlineLevel="0" collapsed="false">
      <c r="B6" s="31" t="s">
        <v>119</v>
      </c>
      <c r="C6" s="54" t="n">
        <v>0.5</v>
      </c>
      <c r="D6" s="47" t="s">
        <v>120</v>
      </c>
    </row>
    <row r="7" customFormat="false" ht="15" hidden="false" customHeight="false" outlineLevel="0" collapsed="false">
      <c r="B7" s="31" t="s">
        <v>121</v>
      </c>
      <c r="C7" s="54" t="n">
        <v>0.75</v>
      </c>
      <c r="D7" s="47" t="s">
        <v>122</v>
      </c>
    </row>
    <row r="8" customFormat="false" ht="15" hidden="false" customHeight="false" outlineLevel="0" collapsed="false">
      <c r="B8" s="31" t="s">
        <v>123</v>
      </c>
      <c r="C8" s="55" t="n">
        <v>4.3</v>
      </c>
      <c r="D8" s="47" t="s">
        <v>124</v>
      </c>
    </row>
    <row r="9" customFormat="false" ht="15" hidden="false" customHeight="false" outlineLevel="0" collapsed="false">
      <c r="B9" s="31" t="s">
        <v>125</v>
      </c>
      <c r="C9" s="54" t="n">
        <v>0.2</v>
      </c>
      <c r="D9" s="47" t="s">
        <v>124</v>
      </c>
    </row>
    <row r="11" customFormat="false" ht="15" hidden="false" customHeight="false" outlineLevel="0" collapsed="false">
      <c r="B11" s="10" t="s">
        <v>126</v>
      </c>
      <c r="C11" s="10"/>
      <c r="D11" s="10"/>
      <c r="E11" s="10"/>
      <c r="F11" s="10"/>
      <c r="G11" s="10"/>
    </row>
    <row r="12" customFormat="false" ht="15" hidden="false" customHeight="false" outlineLevel="0" collapsed="false">
      <c r="B12" s="31" t="s">
        <v>127</v>
      </c>
      <c r="C12" s="56" t="n">
        <f aca="false">SUM('Patient Data'!$T$2:$T$181)</f>
        <v>49</v>
      </c>
    </row>
    <row r="13" customFormat="false" ht="15" hidden="false" customHeight="false" outlineLevel="0" collapsed="false">
      <c r="B13" s="31" t="s">
        <v>128</v>
      </c>
      <c r="C13" s="57" t="n">
        <f aca="false">C12/COUNTA('Patient Data'!$A$2:$A$181)</f>
        <v>0.272222222222222</v>
      </c>
    </row>
    <row r="14" customFormat="false" ht="15" hidden="false" customHeight="false" outlineLevel="0" collapsed="false">
      <c r="B14" s="31" t="s">
        <v>129</v>
      </c>
      <c r="C14" s="58" t="n">
        <f aca="false">AVERAGE('Patient Data'!$J$2:$J$181)</f>
        <v>48.1166666666667</v>
      </c>
    </row>
    <row r="15" customFormat="false" ht="15" hidden="false" customHeight="false" outlineLevel="0" collapsed="false">
      <c r="B15" s="31" t="s">
        <v>130</v>
      </c>
      <c r="C15" s="58" t="n">
        <f aca="false">$C$6*SUMPRODUCT(('Patient Data'!$J$2:$J$181&gt;$C$5)*('Patient Data'!$J$2:$J$181-$C$5))/COUNTA('Patient Data'!$A$2:$A$181)</f>
        <v>1.95</v>
      </c>
    </row>
    <row r="16" customFormat="false" ht="15" hidden="false" customHeight="false" outlineLevel="0" collapsed="false">
      <c r="B16" s="31" t="s">
        <v>131</v>
      </c>
      <c r="C16" s="58" t="n">
        <f aca="false">C14-C15</f>
        <v>46.1666666666667</v>
      </c>
    </row>
    <row r="17" customFormat="false" ht="15" hidden="false" customHeight="false" outlineLevel="0" collapsed="false">
      <c r="B17" s="31" t="s">
        <v>132</v>
      </c>
      <c r="C17" s="59" t="n">
        <f aca="false">AVERAGE('Patient Data'!$O$2:$O$181)</f>
        <v>4.33888888888889</v>
      </c>
    </row>
    <row r="18" customFormat="false" ht="15" hidden="false" customHeight="false" outlineLevel="0" collapsed="false">
      <c r="B18" s="31" t="s">
        <v>133</v>
      </c>
      <c r="C18" s="60" t="n">
        <f aca="false">SLOPE('Patient Data'!$O$2:$O$181,'Patient Data'!$J$2:$J$181)</f>
        <v>-0.0186601520327873</v>
      </c>
    </row>
    <row r="19" customFormat="false" ht="15" hidden="false" customHeight="false" outlineLevel="0" collapsed="false">
      <c r="B19" s="31" t="s">
        <v>134</v>
      </c>
      <c r="C19" s="59" t="n">
        <f aca="false">MIN(5,C17-C18*C15)</f>
        <v>4.37527618535282</v>
      </c>
    </row>
    <row r="20" customFormat="false" ht="15" hidden="false" customHeight="false" outlineLevel="0" collapsed="false">
      <c r="B20" s="37" t="s">
        <v>135</v>
      </c>
      <c r="C20" s="61" t="n">
        <f aca="false">C19-C17</f>
        <v>0.0363872964639356</v>
      </c>
      <c r="D20" s="62" t="s">
        <v>136</v>
      </c>
    </row>
    <row r="21" customFormat="false" ht="15" hidden="false" customHeight="false" outlineLevel="0" collapsed="false">
      <c r="B21" s="47" t="s">
        <v>137</v>
      </c>
    </row>
    <row r="23" customFormat="false" ht="15" hidden="false" customHeight="false" outlineLevel="0" collapsed="false">
      <c r="B23" s="10" t="s">
        <v>138</v>
      </c>
      <c r="C23" s="10"/>
      <c r="D23" s="10"/>
      <c r="E23" s="10"/>
      <c r="F23" s="10"/>
      <c r="G23" s="10"/>
    </row>
    <row r="24" customFormat="false" ht="23.85" hidden="false" customHeight="false" outlineLevel="0" collapsed="false">
      <c r="B24" s="29" t="s">
        <v>55</v>
      </c>
      <c r="C24" s="29" t="s">
        <v>74</v>
      </c>
      <c r="D24" s="29" t="s">
        <v>85</v>
      </c>
      <c r="E24" s="29" t="s">
        <v>139</v>
      </c>
      <c r="F24" s="29" t="s">
        <v>140</v>
      </c>
    </row>
    <row r="25" customFormat="false" ht="15" hidden="false" customHeight="false" outlineLevel="0" collapsed="false">
      <c r="B25" s="37" t="s">
        <v>58</v>
      </c>
      <c r="C25" s="32" t="n">
        <f aca="false">SUMIFS('Patient Data'!$U$2:$U$181,'Patient Data'!$G$2:$G$181,$B25)</f>
        <v>13</v>
      </c>
      <c r="D25" s="32" t="n">
        <f aca="false">SUMIFS('Patient Data'!$V$2:$V$181,'Patient Data'!$G$2:$G$181,$B25)</f>
        <v>11</v>
      </c>
      <c r="E25" s="35" t="n">
        <f aca="false">IF(C25=0,0,D25/C25)</f>
        <v>0.846153846153846</v>
      </c>
      <c r="F25" s="63" t="n">
        <f aca="false">MAX(0,ROUNDUP($C$7*C25-D25,0))</f>
        <v>0</v>
      </c>
    </row>
    <row r="26" customFormat="false" ht="15" hidden="false" customHeight="false" outlineLevel="0" collapsed="false">
      <c r="B26" s="37" t="s">
        <v>60</v>
      </c>
      <c r="C26" s="32" t="n">
        <f aca="false">SUMIFS('Patient Data'!$U$2:$U$181,'Patient Data'!$G$2:$G$181,$B26)</f>
        <v>23</v>
      </c>
      <c r="D26" s="32" t="n">
        <f aca="false">SUMIFS('Patient Data'!$V$2:$V$181,'Patient Data'!$G$2:$G$181,$B26)</f>
        <v>14</v>
      </c>
      <c r="E26" s="35" t="n">
        <f aca="false">IF(C26=0,0,D26/C26)</f>
        <v>0.608695652173913</v>
      </c>
      <c r="F26" s="63" t="n">
        <f aca="false">MAX(0,ROUNDUP($C$7*C26-D26,0))</f>
        <v>4</v>
      </c>
    </row>
    <row r="27" customFormat="false" ht="15" hidden="false" customHeight="false" outlineLevel="0" collapsed="false">
      <c r="B27" s="37" t="s">
        <v>62</v>
      </c>
      <c r="C27" s="32" t="n">
        <f aca="false">SUMIFS('Patient Data'!$U$2:$U$181,'Patient Data'!$G$2:$G$181,$B27)</f>
        <v>17</v>
      </c>
      <c r="D27" s="32" t="n">
        <f aca="false">SUMIFS('Patient Data'!$V$2:$V$181,'Patient Data'!$G$2:$G$181,$B27)</f>
        <v>13</v>
      </c>
      <c r="E27" s="35" t="n">
        <f aca="false">IF(C27=0,0,D27/C27)</f>
        <v>0.764705882352941</v>
      </c>
      <c r="F27" s="63" t="n">
        <f aca="false">MAX(0,ROUNDUP($C$7*C27-D27,0))</f>
        <v>0</v>
      </c>
    </row>
    <row r="28" customFormat="false" ht="15" hidden="false" customHeight="false" outlineLevel="0" collapsed="false">
      <c r="B28" s="37" t="s">
        <v>64</v>
      </c>
      <c r="C28" s="32" t="n">
        <f aca="false">SUMIFS('Patient Data'!$U$2:$U$181,'Patient Data'!$G$2:$G$181,$B28)</f>
        <v>27</v>
      </c>
      <c r="D28" s="32" t="n">
        <f aca="false">SUMIFS('Patient Data'!$V$2:$V$181,'Patient Data'!$G$2:$G$181,$B28)</f>
        <v>19</v>
      </c>
      <c r="E28" s="35" t="n">
        <f aca="false">IF(C28=0,0,D28/C28)</f>
        <v>0.703703703703704</v>
      </c>
      <c r="F28" s="63" t="n">
        <f aca="false">MAX(0,ROUNDUP($C$7*C28-D28,0))</f>
        <v>2</v>
      </c>
    </row>
    <row r="29" customFormat="false" ht="15" hidden="false" customHeight="false" outlineLevel="0" collapsed="false">
      <c r="B29" s="37" t="s">
        <v>66</v>
      </c>
      <c r="C29" s="32" t="n">
        <f aca="false">SUMIFS('Patient Data'!$U$2:$U$181,'Patient Data'!$G$2:$G$181,$B29)</f>
        <v>18</v>
      </c>
      <c r="D29" s="32" t="n">
        <f aca="false">SUMIFS('Patient Data'!$V$2:$V$181,'Patient Data'!$G$2:$G$181,$B29)</f>
        <v>14</v>
      </c>
      <c r="E29" s="35" t="n">
        <f aca="false">IF(C29=0,0,D29/C29)</f>
        <v>0.777777777777778</v>
      </c>
      <c r="F29" s="63" t="n">
        <f aca="false">MAX(0,ROUNDUP($C$7*C29-D29,0))</f>
        <v>0</v>
      </c>
    </row>
    <row r="30" customFormat="false" ht="15" hidden="false" customHeight="false" outlineLevel="0" collapsed="false">
      <c r="B30" s="37" t="s">
        <v>68</v>
      </c>
      <c r="C30" s="32" t="n">
        <f aca="false">SUMIFS('Patient Data'!$U$2:$U$181,'Patient Data'!$G$2:$G$181,$B30)</f>
        <v>10</v>
      </c>
      <c r="D30" s="32" t="n">
        <f aca="false">SUMIFS('Patient Data'!$V$2:$V$181,'Patient Data'!$G$2:$G$181,$B30)</f>
        <v>10</v>
      </c>
      <c r="E30" s="35" t="n">
        <f aca="false">IF(C30=0,0,D30/C30)</f>
        <v>1</v>
      </c>
      <c r="F30" s="63" t="n">
        <f aca="false">MAX(0,ROUNDUP($C$7*C30-D30,0))</f>
        <v>0</v>
      </c>
    </row>
    <row r="31" customFormat="false" ht="15" hidden="false" customHeight="false" outlineLevel="0" collapsed="false">
      <c r="B31" s="40" t="s">
        <v>92</v>
      </c>
      <c r="C31" s="41" t="n">
        <f aca="false">SUM(C25:C30)</f>
        <v>108</v>
      </c>
      <c r="D31" s="41" t="n">
        <f aca="false">SUM(D25:D30)</f>
        <v>81</v>
      </c>
      <c r="E31" s="43" t="n">
        <f aca="false">IF(C31=0,0,D31/C31)</f>
        <v>0.75</v>
      </c>
      <c r="F31" s="41" t="n">
        <f aca="false">SUM(F25:F30)</f>
        <v>6</v>
      </c>
    </row>
    <row r="33" customFormat="false" ht="15" hidden="false" customHeight="false" outlineLevel="0" collapsed="false">
      <c r="B33" s="10" t="s">
        <v>141</v>
      </c>
      <c r="C33" s="10"/>
      <c r="D33" s="10"/>
      <c r="E33" s="10"/>
      <c r="F33" s="10"/>
      <c r="G33" s="10"/>
    </row>
    <row r="34" customFormat="false" ht="15" hidden="false" customHeight="false" outlineLevel="0" collapsed="false">
      <c r="B34" s="64" t="s">
        <v>142</v>
      </c>
      <c r="C34" s="65" t="n">
        <v>0.25</v>
      </c>
      <c r="D34" s="65" t="n">
        <v>0.5</v>
      </c>
      <c r="E34" s="65" t="n">
        <v>0.75</v>
      </c>
      <c r="F34" s="65" t="n">
        <v>1</v>
      </c>
    </row>
    <row r="35" customFormat="false" ht="15" hidden="false" customHeight="false" outlineLevel="0" collapsed="false">
      <c r="B35" s="66" t="n">
        <v>90</v>
      </c>
      <c r="C35" s="59" t="n">
        <f aca="false">MIN(5-AVERAGE('Patient Data'!$O$2:$O$181),-SLOPE('Patient Data'!$O$2:$O$181,'Patient Data'!$J$2:$J$181)*C$34*SUMPRODUCT(('Patient Data'!$J$2:$J$181&gt;$B35)*('Patient Data'!$J$2:$J$181-$B35))/COUNTA('Patient Data'!$A$2:$A$181))</f>
        <v>0.00103667511293263</v>
      </c>
      <c r="D35" s="59" t="n">
        <f aca="false">MIN(5-AVERAGE('Patient Data'!$O$2:$O$181),-SLOPE('Patient Data'!$O$2:$O$181,'Patient Data'!$J$2:$J$181)*D$34*SUMPRODUCT(('Patient Data'!$J$2:$J$181&gt;$B35)*('Patient Data'!$J$2:$J$181-$B35))/COUNTA('Patient Data'!$A$2:$A$181))</f>
        <v>0.00207335022586526</v>
      </c>
      <c r="E35" s="59" t="n">
        <f aca="false">MIN(5-AVERAGE('Patient Data'!$O$2:$O$181),-SLOPE('Patient Data'!$O$2:$O$181,'Patient Data'!$J$2:$J$181)*E$34*SUMPRODUCT(('Patient Data'!$J$2:$J$181&gt;$B35)*('Patient Data'!$J$2:$J$181-$B35))/COUNTA('Patient Data'!$A$2:$A$181))</f>
        <v>0.00311002533879788</v>
      </c>
      <c r="F35" s="59" t="n">
        <f aca="false">MIN(5-AVERAGE('Patient Data'!$O$2:$O$181),-SLOPE('Patient Data'!$O$2:$O$181,'Patient Data'!$J$2:$J$181)*F$34*SUMPRODUCT(('Patient Data'!$J$2:$J$181&gt;$B35)*('Patient Data'!$J$2:$J$181-$B35))/COUNTA('Patient Data'!$A$2:$A$181))</f>
        <v>0.00414670045173051</v>
      </c>
    </row>
    <row r="36" customFormat="false" ht="15" hidden="false" customHeight="false" outlineLevel="0" collapsed="false">
      <c r="B36" s="66" t="n">
        <v>75</v>
      </c>
      <c r="C36" s="59" t="n">
        <f aca="false">MIN(5-AVERAGE('Patient Data'!$O$2:$O$181),-SLOPE('Patient Data'!$O$2:$O$181,'Patient Data'!$J$2:$J$181)*C$34*SUMPRODUCT(('Patient Data'!$J$2:$J$181&gt;$B36)*('Patient Data'!$J$2:$J$181-$B36))/COUNTA('Patient Data'!$A$2:$A$181))</f>
        <v>0.00580538063242272</v>
      </c>
      <c r="D36" s="59" t="n">
        <f aca="false">MIN(5-AVERAGE('Patient Data'!$O$2:$O$181),-SLOPE('Patient Data'!$O$2:$O$181,'Patient Data'!$J$2:$J$181)*D$34*SUMPRODUCT(('Patient Data'!$J$2:$J$181&gt;$B36)*('Patient Data'!$J$2:$J$181-$B36))/COUNTA('Patient Data'!$A$2:$A$181))</f>
        <v>0.0116107612648454</v>
      </c>
      <c r="E36" s="59" t="n">
        <f aca="false">MIN(5-AVERAGE('Patient Data'!$O$2:$O$181),-SLOPE('Patient Data'!$O$2:$O$181,'Patient Data'!$J$2:$J$181)*E$34*SUMPRODUCT(('Patient Data'!$J$2:$J$181&gt;$B36)*('Patient Data'!$J$2:$J$181-$B36))/COUNTA('Patient Data'!$A$2:$A$181))</f>
        <v>0.0174161418972682</v>
      </c>
      <c r="F36" s="59" t="n">
        <f aca="false">MIN(5-AVERAGE('Patient Data'!$O$2:$O$181),-SLOPE('Patient Data'!$O$2:$O$181,'Patient Data'!$J$2:$J$181)*F$34*SUMPRODUCT(('Patient Data'!$J$2:$J$181&gt;$B36)*('Patient Data'!$J$2:$J$181-$B36))/COUNTA('Patient Data'!$A$2:$A$181))</f>
        <v>0.0232215225296909</v>
      </c>
    </row>
    <row r="37" customFormat="false" ht="15" hidden="false" customHeight="false" outlineLevel="0" collapsed="false">
      <c r="B37" s="66" t="n">
        <v>60</v>
      </c>
      <c r="C37" s="59" t="n">
        <f aca="false">MIN(5-AVERAGE('Patient Data'!$O$2:$O$181),-SLOPE('Patient Data'!$O$2:$O$181,'Patient Data'!$J$2:$J$181)*C$34*SUMPRODUCT(('Patient Data'!$J$2:$J$181&gt;$B37)*('Patient Data'!$J$2:$J$181-$B37))/COUNTA('Patient Data'!$A$2:$A$181))</f>
        <v>0.0181936482319676</v>
      </c>
      <c r="D37" s="59" t="n">
        <f aca="false">MIN(5-AVERAGE('Patient Data'!$O$2:$O$181),-SLOPE('Patient Data'!$O$2:$O$181,'Patient Data'!$J$2:$J$181)*D$34*SUMPRODUCT(('Patient Data'!$J$2:$J$181&gt;$B37)*('Patient Data'!$J$2:$J$181-$B37))/COUNTA('Patient Data'!$A$2:$A$181))</f>
        <v>0.0363872964639352</v>
      </c>
      <c r="E37" s="59" t="n">
        <f aca="false">MIN(5-AVERAGE('Patient Data'!$O$2:$O$181),-SLOPE('Patient Data'!$O$2:$O$181,'Patient Data'!$J$2:$J$181)*E$34*SUMPRODUCT(('Patient Data'!$J$2:$J$181&gt;$B37)*('Patient Data'!$J$2:$J$181-$B37))/COUNTA('Patient Data'!$A$2:$A$181))</f>
        <v>0.0545809446959029</v>
      </c>
      <c r="F37" s="59" t="n">
        <f aca="false">MIN(5-AVERAGE('Patient Data'!$O$2:$O$181),-SLOPE('Patient Data'!$O$2:$O$181,'Patient Data'!$J$2:$J$181)*F$34*SUMPRODUCT(('Patient Data'!$J$2:$J$181&gt;$B37)*('Patient Data'!$J$2:$J$181-$B37))/COUNTA('Patient Data'!$A$2:$A$181))</f>
        <v>0.0727745929278705</v>
      </c>
    </row>
    <row r="38" customFormat="false" ht="15" hidden="false" customHeight="false" outlineLevel="0" collapsed="false">
      <c r="B38" s="66" t="n">
        <v>45</v>
      </c>
      <c r="C38" s="59" t="n">
        <f aca="false">MIN(5-AVERAGE('Patient Data'!$O$2:$O$181),-SLOPE('Patient Data'!$O$2:$O$181,'Patient Data'!$J$2:$J$181)*C$34*SUMPRODUCT(('Patient Data'!$J$2:$J$181&gt;$B38)*('Patient Data'!$J$2:$J$181-$B38))/COUNTA('Patient Data'!$A$2:$A$181))</f>
        <v>0.0463912113037351</v>
      </c>
      <c r="D38" s="59" t="n">
        <f aca="false">MIN(5-AVERAGE('Patient Data'!$O$2:$O$181),-SLOPE('Patient Data'!$O$2:$O$181,'Patient Data'!$J$2:$J$181)*D$34*SUMPRODUCT(('Patient Data'!$J$2:$J$181&gt;$B38)*('Patient Data'!$J$2:$J$181-$B38))/COUNTA('Patient Data'!$A$2:$A$181))</f>
        <v>0.0927824226074702</v>
      </c>
      <c r="E38" s="59" t="n">
        <f aca="false">MIN(5-AVERAGE('Patient Data'!$O$2:$O$181),-SLOPE('Patient Data'!$O$2:$O$181,'Patient Data'!$J$2:$J$181)*E$34*SUMPRODUCT(('Patient Data'!$J$2:$J$181&gt;$B38)*('Patient Data'!$J$2:$J$181-$B38))/COUNTA('Patient Data'!$A$2:$A$181))</f>
        <v>0.139173633911205</v>
      </c>
      <c r="F38" s="59" t="n">
        <f aca="false">MIN(5-AVERAGE('Patient Data'!$O$2:$O$181),-SLOPE('Patient Data'!$O$2:$O$181,'Patient Data'!$J$2:$J$181)*F$34*SUMPRODUCT(('Patient Data'!$J$2:$J$181&gt;$B38)*('Patient Data'!$J$2:$J$181-$B38))/COUNTA('Patient Data'!$A$2:$A$181))</f>
        <v>0.18556484521494</v>
      </c>
    </row>
    <row r="39" customFormat="false" ht="15" hidden="false" customHeight="false" outlineLevel="0" collapsed="false">
      <c r="B39" s="66" t="n">
        <v>30</v>
      </c>
      <c r="C39" s="59" t="n">
        <f aca="false">MIN(5-AVERAGE('Patient Data'!$O$2:$O$181),-SLOPE('Patient Data'!$O$2:$O$181,'Patient Data'!$J$2:$J$181)*C$34*SUMPRODUCT(('Patient Data'!$J$2:$J$181&gt;$B39)*('Patient Data'!$J$2:$J$181-$B39))/COUNTA('Patient Data'!$A$2:$A$181))</f>
        <v>0.0930156745078801</v>
      </c>
      <c r="D39" s="59" t="n">
        <f aca="false">MIN(5-AVERAGE('Patient Data'!$O$2:$O$181),-SLOPE('Patient Data'!$O$2:$O$181,'Patient Data'!$J$2:$J$181)*D$34*SUMPRODUCT(('Patient Data'!$J$2:$J$181&gt;$B39)*('Patient Data'!$J$2:$J$181-$B39))/COUNTA('Patient Data'!$A$2:$A$181))</f>
        <v>0.18603134901576</v>
      </c>
      <c r="E39" s="59" t="n">
        <f aca="false">MIN(5-AVERAGE('Patient Data'!$O$2:$O$181),-SLOPE('Patient Data'!$O$2:$O$181,'Patient Data'!$J$2:$J$181)*E$34*SUMPRODUCT(('Patient Data'!$J$2:$J$181&gt;$B39)*('Patient Data'!$J$2:$J$181-$B39))/COUNTA('Patient Data'!$A$2:$A$181))</f>
        <v>0.27904702352364</v>
      </c>
      <c r="F39" s="59" t="n">
        <f aca="false">MIN(5-AVERAGE('Patient Data'!$O$2:$O$181),-SLOPE('Patient Data'!$O$2:$O$181,'Patient Data'!$J$2:$J$181)*F$34*SUMPRODUCT(('Patient Data'!$J$2:$J$181&gt;$B39)*('Patient Data'!$J$2:$J$181-$B39))/COUNTA('Patient Data'!$A$2:$A$181))</f>
        <v>0.37206269803152</v>
      </c>
    </row>
    <row r="40" customFormat="false" ht="15" hidden="false" customHeight="false" outlineLevel="0" collapsed="false">
      <c r="B40" s="47" t="s">
        <v>143</v>
      </c>
    </row>
  </sheetData>
  <mergeCells count="5">
    <mergeCell ref="B2:G2"/>
    <mergeCell ref="B4:G4"/>
    <mergeCell ref="B11:G11"/>
    <mergeCell ref="B23:G23"/>
    <mergeCell ref="B33:G33"/>
  </mergeCells>
  <conditionalFormatting sqref="E25:E30">
    <cfRule type="colorScale" priority="2">
      <colorScale>
        <cfvo type="min" val="0"/>
        <cfvo type="max" val="0"/>
        <color rgb="FFF8B4B4"/>
        <color rgb="FF86D6A8"/>
      </colorScale>
    </cfRule>
  </conditionalFormatting>
  <conditionalFormatting sqref="C35:F39">
    <cfRule type="colorScale" priority="3">
      <colorScale>
        <cfvo type="min" val="0"/>
        <cfvo type="max" val="0"/>
        <color rgb="FFFFFFFF"/>
        <color rgb="FF86D6A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W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5" min="13" style="0" width="11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3" min="19" style="0" width="10"/>
  </cols>
  <sheetData>
    <row r="1" customFormat="false" ht="31.5" hidden="false" customHeight="true" outlineLevel="0" collapsed="false">
      <c r="A1" s="29" t="s">
        <v>144</v>
      </c>
      <c r="B1" s="29" t="s">
        <v>145</v>
      </c>
      <c r="C1" s="29" t="s">
        <v>146</v>
      </c>
      <c r="D1" s="29" t="s">
        <v>147</v>
      </c>
      <c r="E1" s="29" t="s">
        <v>148</v>
      </c>
      <c r="F1" s="29" t="s">
        <v>56</v>
      </c>
      <c r="G1" s="29" t="s">
        <v>55</v>
      </c>
      <c r="H1" s="29" t="s">
        <v>111</v>
      </c>
      <c r="I1" s="29" t="s">
        <v>149</v>
      </c>
      <c r="J1" s="29" t="s">
        <v>150</v>
      </c>
      <c r="K1" s="29" t="s">
        <v>151</v>
      </c>
      <c r="L1" s="29" t="s">
        <v>152</v>
      </c>
      <c r="M1" s="29" t="s">
        <v>153</v>
      </c>
      <c r="N1" s="29" t="s">
        <v>154</v>
      </c>
      <c r="O1" s="29" t="s">
        <v>155</v>
      </c>
      <c r="P1" s="29" t="s">
        <v>156</v>
      </c>
      <c r="Q1" s="29" t="s">
        <v>157</v>
      </c>
      <c r="R1" s="29" t="s">
        <v>94</v>
      </c>
      <c r="S1" s="29" t="s">
        <v>40</v>
      </c>
      <c r="T1" s="29" t="s">
        <v>158</v>
      </c>
      <c r="U1" s="29" t="s">
        <v>159</v>
      </c>
      <c r="V1" s="29" t="s">
        <v>160</v>
      </c>
      <c r="W1" s="29" t="s">
        <v>161</v>
      </c>
    </row>
    <row r="2" customFormat="false" ht="15" hidden="false" customHeight="false" outlineLevel="0" collapsed="false">
      <c r="A2" s="67" t="s">
        <v>162</v>
      </c>
      <c r="B2" s="67" t="s">
        <v>163</v>
      </c>
      <c r="C2" s="68" t="n">
        <v>46036</v>
      </c>
      <c r="D2" s="67" t="n">
        <v>25</v>
      </c>
      <c r="E2" s="67" t="s">
        <v>164</v>
      </c>
      <c r="F2" s="67" t="s">
        <v>59</v>
      </c>
      <c r="G2" s="67" t="s">
        <v>62</v>
      </c>
      <c r="H2" s="67" t="s">
        <v>112</v>
      </c>
      <c r="I2" s="67" t="s">
        <v>108</v>
      </c>
      <c r="J2" s="67" t="n">
        <v>57</v>
      </c>
      <c r="K2" s="69" t="n">
        <v>3.6</v>
      </c>
      <c r="L2" s="70" t="n">
        <v>146776</v>
      </c>
      <c r="M2" s="67" t="s">
        <v>165</v>
      </c>
      <c r="N2" s="67" t="s">
        <v>165</v>
      </c>
      <c r="O2" s="67" t="n">
        <v>4</v>
      </c>
      <c r="P2" s="67" t="s">
        <v>166</v>
      </c>
      <c r="Q2" s="71" t="n">
        <f aca="false">MONTH(C2)</f>
        <v>1</v>
      </c>
      <c r="R2" s="72" t="str">
        <f aca="false">IF(D2&lt;=14,"1–14",IF(D2&lt;=24,"15–24",IF(D2&lt;=44,"25–44",IF(D2&lt;=64,"45–64","65+"))))</f>
        <v>25–44</v>
      </c>
      <c r="S2" s="72" t="str">
        <f aca="false">IF(J2&lt;=30,"Up to 30",IF(J2&lt;=60,"31–60",IF(J2&lt;=90,"61–90","Over 90")))</f>
        <v>31–60</v>
      </c>
      <c r="T2" s="71" t="n">
        <f aca="false">IF(J2&gt;'Scenario Lab'!$C$5,1,0)</f>
        <v>0</v>
      </c>
      <c r="U2" s="71" t="n">
        <f aca="false">IF(M2="Yes",1,0)</f>
        <v>1</v>
      </c>
      <c r="V2" s="71" t="n">
        <f aca="false">IF(AND(M2="Yes",N2="Yes"),1,0)</f>
        <v>1</v>
      </c>
      <c r="W2" s="72" t="str">
        <f aca="false">IF(AND(G2="Maternal Health",E2="Male",D2&gt;=15),"Review","OK")</f>
        <v>OK</v>
      </c>
    </row>
    <row r="3" customFormat="false" ht="15" hidden="false" customHeight="false" outlineLevel="0" collapsed="false">
      <c r="A3" s="67" t="s">
        <v>167</v>
      </c>
      <c r="B3" s="67" t="s">
        <v>168</v>
      </c>
      <c r="C3" s="68" t="n">
        <v>46102</v>
      </c>
      <c r="D3" s="67" t="n">
        <v>31</v>
      </c>
      <c r="E3" s="67" t="s">
        <v>164</v>
      </c>
      <c r="F3" s="67" t="s">
        <v>65</v>
      </c>
      <c r="G3" s="67" t="s">
        <v>62</v>
      </c>
      <c r="H3" s="67" t="s">
        <v>58</v>
      </c>
      <c r="I3" s="67" t="s">
        <v>108</v>
      </c>
      <c r="J3" s="67" t="n">
        <v>30</v>
      </c>
      <c r="K3" s="69" t="n">
        <v>2.6</v>
      </c>
      <c r="L3" s="70" t="n">
        <v>143358</v>
      </c>
      <c r="M3" s="67" t="s">
        <v>169</v>
      </c>
      <c r="N3" s="67" t="s">
        <v>170</v>
      </c>
      <c r="O3" s="67" t="n">
        <v>5</v>
      </c>
      <c r="P3" s="67" t="s">
        <v>166</v>
      </c>
      <c r="Q3" s="71" t="n">
        <f aca="false">MONTH(C3)</f>
        <v>3</v>
      </c>
      <c r="R3" s="72" t="str">
        <f aca="false">IF(D3&lt;=14,"1–14",IF(D3&lt;=24,"15–24",IF(D3&lt;=44,"25–44",IF(D3&lt;=64,"45–64","65+"))))</f>
        <v>25–44</v>
      </c>
      <c r="S3" s="72" t="str">
        <f aca="false">IF(J3&lt;=30,"Up to 30",IF(J3&lt;=60,"31–60",IF(J3&lt;=90,"61–90","Over 90")))</f>
        <v>Up to 30</v>
      </c>
      <c r="T3" s="71" t="n">
        <f aca="false">IF(J3&gt;'Scenario Lab'!$C$5,1,0)</f>
        <v>0</v>
      </c>
      <c r="U3" s="71" t="n">
        <f aca="false">IF(M3="Yes",1,0)</f>
        <v>0</v>
      </c>
      <c r="V3" s="71" t="n">
        <f aca="false">IF(AND(M3="Yes",N3="Yes"),1,0)</f>
        <v>0</v>
      </c>
      <c r="W3" s="72" t="str">
        <f aca="false">IF(AND(G3="Maternal Health",E3="Male",D3&gt;=15),"Review","OK")</f>
        <v>OK</v>
      </c>
    </row>
    <row r="4" customFormat="false" ht="15" hidden="false" customHeight="false" outlineLevel="0" collapsed="false">
      <c r="A4" s="67" t="s">
        <v>171</v>
      </c>
      <c r="B4" s="67" t="s">
        <v>172</v>
      </c>
      <c r="C4" s="68" t="n">
        <v>46173</v>
      </c>
      <c r="D4" s="67" t="n">
        <v>36</v>
      </c>
      <c r="E4" s="67" t="s">
        <v>173</v>
      </c>
      <c r="F4" s="67" t="s">
        <v>59</v>
      </c>
      <c r="G4" s="67" t="s">
        <v>60</v>
      </c>
      <c r="H4" s="67" t="s">
        <v>64</v>
      </c>
      <c r="I4" s="67" t="s">
        <v>109</v>
      </c>
      <c r="J4" s="67" t="n">
        <v>40</v>
      </c>
      <c r="K4" s="69" t="n">
        <v>0.2</v>
      </c>
      <c r="L4" s="70" t="n">
        <v>70673</v>
      </c>
      <c r="M4" s="67" t="s">
        <v>165</v>
      </c>
      <c r="N4" s="67" t="s">
        <v>169</v>
      </c>
      <c r="O4" s="67" t="n">
        <v>5</v>
      </c>
      <c r="P4" s="67" t="s">
        <v>166</v>
      </c>
      <c r="Q4" s="71" t="n">
        <f aca="false">MONTH(C4)</f>
        <v>5</v>
      </c>
      <c r="R4" s="72" t="str">
        <f aca="false">IF(D4&lt;=14,"1–14",IF(D4&lt;=24,"15–24",IF(D4&lt;=44,"25–44",IF(D4&lt;=64,"45–64","65+"))))</f>
        <v>25–44</v>
      </c>
      <c r="S4" s="72" t="str">
        <f aca="false">IF(J4&lt;=30,"Up to 30",IF(J4&lt;=60,"31–60",IF(J4&lt;=90,"61–90","Over 90")))</f>
        <v>31–60</v>
      </c>
      <c r="T4" s="71" t="n">
        <f aca="false">IF(J4&gt;'Scenario Lab'!$C$5,1,0)</f>
        <v>0</v>
      </c>
      <c r="U4" s="71" t="n">
        <f aca="false">IF(M4="Yes",1,0)</f>
        <v>1</v>
      </c>
      <c r="V4" s="71" t="n">
        <f aca="false">IF(AND(M4="Yes",N4="Yes"),1,0)</f>
        <v>0</v>
      </c>
      <c r="W4" s="72" t="str">
        <f aca="false">IF(AND(G4="Maternal Health",E4="Male",D4&gt;=15),"Review","OK")</f>
        <v>OK</v>
      </c>
    </row>
    <row r="5" customFormat="false" ht="15" hidden="false" customHeight="false" outlineLevel="0" collapsed="false">
      <c r="A5" s="67" t="s">
        <v>174</v>
      </c>
      <c r="B5" s="67" t="s">
        <v>175</v>
      </c>
      <c r="C5" s="68" t="n">
        <v>46209</v>
      </c>
      <c r="D5" s="67" t="n">
        <v>8</v>
      </c>
      <c r="E5" s="67" t="s">
        <v>164</v>
      </c>
      <c r="F5" s="67" t="s">
        <v>59</v>
      </c>
      <c r="G5" s="67" t="s">
        <v>64</v>
      </c>
      <c r="H5" s="67" t="s">
        <v>64</v>
      </c>
      <c r="I5" s="67" t="s">
        <v>107</v>
      </c>
      <c r="J5" s="67" t="n">
        <v>13</v>
      </c>
      <c r="K5" s="69" t="n">
        <v>0.2</v>
      </c>
      <c r="L5" s="70" t="n">
        <v>41665</v>
      </c>
      <c r="M5" s="67" t="s">
        <v>165</v>
      </c>
      <c r="N5" s="67" t="s">
        <v>165</v>
      </c>
      <c r="O5" s="67" t="n">
        <v>5</v>
      </c>
      <c r="P5" s="67" t="s">
        <v>112</v>
      </c>
      <c r="Q5" s="71" t="n">
        <f aca="false">MONTH(C5)</f>
        <v>7</v>
      </c>
      <c r="R5" s="72" t="str">
        <f aca="false">IF(D5&lt;=14,"1–14",IF(D5&lt;=24,"15–24",IF(D5&lt;=44,"25–44",IF(D5&lt;=64,"45–64","65+"))))</f>
        <v>1–14</v>
      </c>
      <c r="S5" s="72" t="str">
        <f aca="false">IF(J5&lt;=30,"Up to 30",IF(J5&lt;=60,"31–60",IF(J5&lt;=90,"61–90","Over 90")))</f>
        <v>Up to 30</v>
      </c>
      <c r="T5" s="71" t="n">
        <f aca="false">IF(J5&gt;'Scenario Lab'!$C$5,1,0)</f>
        <v>0</v>
      </c>
      <c r="U5" s="71" t="n">
        <f aca="false">IF(M5="Yes",1,0)</f>
        <v>1</v>
      </c>
      <c r="V5" s="71" t="n">
        <f aca="false">IF(AND(M5="Yes",N5="Yes"),1,0)</f>
        <v>1</v>
      </c>
      <c r="W5" s="72" t="str">
        <f aca="false">IF(AND(G5="Maternal Health",E5="Male",D5&gt;=15),"Review","OK")</f>
        <v>OK</v>
      </c>
    </row>
    <row r="6" customFormat="false" ht="15" hidden="false" customHeight="false" outlineLevel="0" collapsed="false">
      <c r="A6" s="67" t="s">
        <v>176</v>
      </c>
      <c r="B6" s="67" t="s">
        <v>177</v>
      </c>
      <c r="C6" s="68" t="n">
        <v>46135</v>
      </c>
      <c r="D6" s="67" t="n">
        <v>18</v>
      </c>
      <c r="E6" s="67" t="s">
        <v>164</v>
      </c>
      <c r="F6" s="67" t="s">
        <v>67</v>
      </c>
      <c r="G6" s="67" t="s">
        <v>60</v>
      </c>
      <c r="H6" s="67" t="s">
        <v>112</v>
      </c>
      <c r="I6" s="67" t="s">
        <v>105</v>
      </c>
      <c r="J6" s="67" t="n">
        <v>66</v>
      </c>
      <c r="K6" s="69" t="n">
        <v>0.1</v>
      </c>
      <c r="L6" s="70" t="n">
        <v>47045</v>
      </c>
      <c r="M6" s="67" t="s">
        <v>169</v>
      </c>
      <c r="N6" s="67" t="s">
        <v>170</v>
      </c>
      <c r="O6" s="67" t="n">
        <v>4</v>
      </c>
      <c r="P6" s="67" t="s">
        <v>112</v>
      </c>
      <c r="Q6" s="71" t="n">
        <f aca="false">MONTH(C6)</f>
        <v>4</v>
      </c>
      <c r="R6" s="72" t="str">
        <f aca="false">IF(D6&lt;=14,"1–14",IF(D6&lt;=24,"15–24",IF(D6&lt;=44,"25–44",IF(D6&lt;=64,"45–64","65+"))))</f>
        <v>15–24</v>
      </c>
      <c r="S6" s="72" t="str">
        <f aca="false">IF(J6&lt;=30,"Up to 30",IF(J6&lt;=60,"31–60",IF(J6&lt;=90,"61–90","Over 90")))</f>
        <v>61–90</v>
      </c>
      <c r="T6" s="71" t="n">
        <f aca="false">IF(J6&gt;'Scenario Lab'!$C$5,1,0)</f>
        <v>1</v>
      </c>
      <c r="U6" s="71" t="n">
        <f aca="false">IF(M6="Yes",1,0)</f>
        <v>0</v>
      </c>
      <c r="V6" s="71" t="n">
        <f aca="false">IF(AND(M6="Yes",N6="Yes"),1,0)</f>
        <v>0</v>
      </c>
      <c r="W6" s="72" t="str">
        <f aca="false">IF(AND(G6="Maternal Health",E6="Male",D6&gt;=15),"Review","OK")</f>
        <v>OK</v>
      </c>
    </row>
    <row r="7" customFormat="false" ht="15" hidden="false" customHeight="false" outlineLevel="0" collapsed="false">
      <c r="A7" s="67" t="s">
        <v>178</v>
      </c>
      <c r="B7" s="67" t="s">
        <v>179</v>
      </c>
      <c r="C7" s="68" t="n">
        <v>46257</v>
      </c>
      <c r="D7" s="67" t="n">
        <v>32</v>
      </c>
      <c r="E7" s="67" t="s">
        <v>164</v>
      </c>
      <c r="F7" s="67" t="s">
        <v>61</v>
      </c>
      <c r="G7" s="67" t="s">
        <v>68</v>
      </c>
      <c r="H7" s="67" t="s">
        <v>64</v>
      </c>
      <c r="I7" s="67" t="s">
        <v>107</v>
      </c>
      <c r="J7" s="67" t="n">
        <v>41</v>
      </c>
      <c r="K7" s="69" t="n">
        <v>4</v>
      </c>
      <c r="L7" s="70" t="n">
        <v>302528</v>
      </c>
      <c r="M7" s="67" t="s">
        <v>165</v>
      </c>
      <c r="N7" s="67" t="s">
        <v>165</v>
      </c>
      <c r="O7" s="67" t="n">
        <v>4</v>
      </c>
      <c r="P7" s="67" t="s">
        <v>180</v>
      </c>
      <c r="Q7" s="71" t="n">
        <f aca="false">MONTH(C7)</f>
        <v>8</v>
      </c>
      <c r="R7" s="72" t="str">
        <f aca="false">IF(D7&lt;=14,"1–14",IF(D7&lt;=24,"15–24",IF(D7&lt;=44,"25–44",IF(D7&lt;=64,"45–64","65+"))))</f>
        <v>25–44</v>
      </c>
      <c r="S7" s="72" t="str">
        <f aca="false">IF(J7&lt;=30,"Up to 30",IF(J7&lt;=60,"31–60",IF(J7&lt;=90,"61–90","Over 90")))</f>
        <v>31–60</v>
      </c>
      <c r="T7" s="71" t="n">
        <f aca="false">IF(J7&gt;'Scenario Lab'!$C$5,1,0)</f>
        <v>0</v>
      </c>
      <c r="U7" s="71" t="n">
        <f aca="false">IF(M7="Yes",1,0)</f>
        <v>1</v>
      </c>
      <c r="V7" s="71" t="n">
        <f aca="false">IF(AND(M7="Yes",N7="Yes"),1,0)</f>
        <v>1</v>
      </c>
      <c r="W7" s="72" t="str">
        <f aca="false">IF(AND(G7="Maternal Health",E7="Male",D7&gt;=15),"Review","OK")</f>
        <v>OK</v>
      </c>
    </row>
    <row r="8" customFormat="false" ht="15" hidden="false" customHeight="false" outlineLevel="0" collapsed="false">
      <c r="A8" s="67" t="s">
        <v>181</v>
      </c>
      <c r="B8" s="67" t="s">
        <v>182</v>
      </c>
      <c r="C8" s="68" t="n">
        <v>46101</v>
      </c>
      <c r="D8" s="67" t="n">
        <v>56</v>
      </c>
      <c r="E8" s="67" t="s">
        <v>173</v>
      </c>
      <c r="F8" s="67" t="s">
        <v>67</v>
      </c>
      <c r="G8" s="67" t="s">
        <v>60</v>
      </c>
      <c r="H8" s="67" t="s">
        <v>64</v>
      </c>
      <c r="I8" s="67" t="s">
        <v>103</v>
      </c>
      <c r="J8" s="67" t="n">
        <v>68</v>
      </c>
      <c r="K8" s="69" t="n">
        <v>0.4</v>
      </c>
      <c r="L8" s="70" t="n">
        <v>67101</v>
      </c>
      <c r="M8" s="67" t="s">
        <v>165</v>
      </c>
      <c r="N8" s="67" t="s">
        <v>169</v>
      </c>
      <c r="O8" s="67" t="n">
        <v>4</v>
      </c>
      <c r="P8" s="67" t="s">
        <v>180</v>
      </c>
      <c r="Q8" s="71" t="n">
        <f aca="false">MONTH(C8)</f>
        <v>3</v>
      </c>
      <c r="R8" s="72" t="str">
        <f aca="false">IF(D8&lt;=14,"1–14",IF(D8&lt;=24,"15–24",IF(D8&lt;=44,"25–44",IF(D8&lt;=64,"45–64","65+"))))</f>
        <v>45–64</v>
      </c>
      <c r="S8" s="72" t="str">
        <f aca="false">IF(J8&lt;=30,"Up to 30",IF(J8&lt;=60,"31–60",IF(J8&lt;=90,"61–90","Over 90")))</f>
        <v>61–90</v>
      </c>
      <c r="T8" s="71" t="n">
        <f aca="false">IF(J8&gt;'Scenario Lab'!$C$5,1,0)</f>
        <v>1</v>
      </c>
      <c r="U8" s="71" t="n">
        <f aca="false">IF(M8="Yes",1,0)</f>
        <v>1</v>
      </c>
      <c r="V8" s="71" t="n">
        <f aca="false">IF(AND(M8="Yes",N8="Yes"),1,0)</f>
        <v>0</v>
      </c>
      <c r="W8" s="72" t="str">
        <f aca="false">IF(AND(G8="Maternal Health",E8="Male",D8&gt;=15),"Review","OK")</f>
        <v>OK</v>
      </c>
    </row>
    <row r="9" customFormat="false" ht="15" hidden="false" customHeight="false" outlineLevel="0" collapsed="false">
      <c r="A9" s="67" t="s">
        <v>183</v>
      </c>
      <c r="B9" s="67" t="s">
        <v>184</v>
      </c>
      <c r="C9" s="68" t="n">
        <v>46081</v>
      </c>
      <c r="D9" s="67" t="n">
        <v>20</v>
      </c>
      <c r="E9" s="67" t="s">
        <v>173</v>
      </c>
      <c r="F9" s="67" t="s">
        <v>65</v>
      </c>
      <c r="G9" s="67" t="s">
        <v>62</v>
      </c>
      <c r="H9" s="67" t="s">
        <v>58</v>
      </c>
      <c r="I9" s="67" t="s">
        <v>108</v>
      </c>
      <c r="J9" s="67" t="n">
        <v>38</v>
      </c>
      <c r="K9" s="69" t="n">
        <v>0.7</v>
      </c>
      <c r="L9" s="70" t="n">
        <v>82076</v>
      </c>
      <c r="M9" s="67" t="s">
        <v>169</v>
      </c>
      <c r="N9" s="67" t="s">
        <v>170</v>
      </c>
      <c r="O9" s="67" t="n">
        <v>5</v>
      </c>
      <c r="P9" s="67" t="s">
        <v>112</v>
      </c>
      <c r="Q9" s="71" t="n">
        <f aca="false">MONTH(C9)</f>
        <v>2</v>
      </c>
      <c r="R9" s="72" t="str">
        <f aca="false">IF(D9&lt;=14,"1–14",IF(D9&lt;=24,"15–24",IF(D9&lt;=44,"25–44",IF(D9&lt;=64,"45–64","65+"))))</f>
        <v>15–24</v>
      </c>
      <c r="S9" s="72" t="str">
        <f aca="false">IF(J9&lt;=30,"Up to 30",IF(J9&lt;=60,"31–60",IF(J9&lt;=90,"61–90","Over 90")))</f>
        <v>31–60</v>
      </c>
      <c r="T9" s="71" t="n">
        <f aca="false">IF(J9&gt;'Scenario Lab'!$C$5,1,0)</f>
        <v>0</v>
      </c>
      <c r="U9" s="71" t="n">
        <f aca="false">IF(M9="Yes",1,0)</f>
        <v>0</v>
      </c>
      <c r="V9" s="71" t="n">
        <f aca="false">IF(AND(M9="Yes",N9="Yes"),1,0)</f>
        <v>0</v>
      </c>
      <c r="W9" s="72" t="str">
        <f aca="false">IF(AND(G9="Maternal Health",E9="Male",D9&gt;=15),"Review","OK")</f>
        <v>Review</v>
      </c>
    </row>
    <row r="10" customFormat="false" ht="15" hidden="false" customHeight="false" outlineLevel="0" collapsed="false">
      <c r="A10" s="67" t="s">
        <v>185</v>
      </c>
      <c r="B10" s="67" t="s">
        <v>186</v>
      </c>
      <c r="C10" s="68" t="n">
        <v>46282</v>
      </c>
      <c r="D10" s="67" t="n">
        <v>59</v>
      </c>
      <c r="E10" s="67" t="s">
        <v>173</v>
      </c>
      <c r="F10" s="67" t="s">
        <v>59</v>
      </c>
      <c r="G10" s="67" t="s">
        <v>68</v>
      </c>
      <c r="H10" s="67" t="s">
        <v>64</v>
      </c>
      <c r="I10" s="67" t="s">
        <v>107</v>
      </c>
      <c r="J10" s="67" t="n">
        <v>62</v>
      </c>
      <c r="K10" s="69" t="n">
        <v>0</v>
      </c>
      <c r="L10" s="70" t="n">
        <v>168981</v>
      </c>
      <c r="M10" s="67" t="s">
        <v>169</v>
      </c>
      <c r="N10" s="67" t="s">
        <v>170</v>
      </c>
      <c r="O10" s="67" t="n">
        <v>3</v>
      </c>
      <c r="P10" s="67" t="s">
        <v>112</v>
      </c>
      <c r="Q10" s="71" t="n">
        <f aca="false">MONTH(C10)</f>
        <v>9</v>
      </c>
      <c r="R10" s="72" t="str">
        <f aca="false">IF(D10&lt;=14,"1–14",IF(D10&lt;=24,"15–24",IF(D10&lt;=44,"25–44",IF(D10&lt;=64,"45–64","65+"))))</f>
        <v>45–64</v>
      </c>
      <c r="S10" s="72" t="str">
        <f aca="false">IF(J10&lt;=30,"Up to 30",IF(J10&lt;=60,"31–60",IF(J10&lt;=90,"61–90","Over 90")))</f>
        <v>61–90</v>
      </c>
      <c r="T10" s="71" t="n">
        <f aca="false">IF(J10&gt;'Scenario Lab'!$C$5,1,0)</f>
        <v>1</v>
      </c>
      <c r="U10" s="71" t="n">
        <f aca="false">IF(M10="Yes",1,0)</f>
        <v>0</v>
      </c>
      <c r="V10" s="71" t="n">
        <f aca="false">IF(AND(M10="Yes",N10="Yes"),1,0)</f>
        <v>0</v>
      </c>
      <c r="W10" s="72" t="str">
        <f aca="false">IF(AND(G10="Maternal Health",E10="Male",D10&gt;=15),"Review","OK")</f>
        <v>OK</v>
      </c>
    </row>
    <row r="11" customFormat="false" ht="15" hidden="false" customHeight="false" outlineLevel="0" collapsed="false">
      <c r="A11" s="67" t="s">
        <v>187</v>
      </c>
      <c r="B11" s="67" t="s">
        <v>188</v>
      </c>
      <c r="C11" s="68" t="n">
        <v>46080</v>
      </c>
      <c r="D11" s="67" t="n">
        <v>46</v>
      </c>
      <c r="E11" s="67" t="s">
        <v>164</v>
      </c>
      <c r="F11" s="67" t="s">
        <v>63</v>
      </c>
      <c r="G11" s="67" t="s">
        <v>64</v>
      </c>
      <c r="H11" s="67" t="s">
        <v>64</v>
      </c>
      <c r="I11" s="67" t="s">
        <v>107</v>
      </c>
      <c r="J11" s="67" t="n">
        <v>25</v>
      </c>
      <c r="K11" s="69" t="n">
        <v>5.1</v>
      </c>
      <c r="L11" s="70" t="n">
        <v>94859</v>
      </c>
      <c r="M11" s="67" t="s">
        <v>169</v>
      </c>
      <c r="N11" s="67" t="s">
        <v>170</v>
      </c>
      <c r="O11" s="67" t="n">
        <v>4</v>
      </c>
      <c r="P11" s="67" t="s">
        <v>166</v>
      </c>
      <c r="Q11" s="71" t="n">
        <f aca="false">MONTH(C11)</f>
        <v>2</v>
      </c>
      <c r="R11" s="72" t="str">
        <f aca="false">IF(D11&lt;=14,"1–14",IF(D11&lt;=24,"15–24",IF(D11&lt;=44,"25–44",IF(D11&lt;=64,"45–64","65+"))))</f>
        <v>45–64</v>
      </c>
      <c r="S11" s="72" t="str">
        <f aca="false">IF(J11&lt;=30,"Up to 30",IF(J11&lt;=60,"31–60",IF(J11&lt;=90,"61–90","Over 90")))</f>
        <v>Up to 30</v>
      </c>
      <c r="T11" s="71" t="n">
        <f aca="false">IF(J11&gt;'Scenario Lab'!$C$5,1,0)</f>
        <v>0</v>
      </c>
      <c r="U11" s="71" t="n">
        <f aca="false">IF(M11="Yes",1,0)</f>
        <v>0</v>
      </c>
      <c r="V11" s="71" t="n">
        <f aca="false">IF(AND(M11="Yes",N11="Yes"),1,0)</f>
        <v>0</v>
      </c>
      <c r="W11" s="72" t="str">
        <f aca="false">IF(AND(G11="Maternal Health",E11="Male",D11&gt;=15),"Review","OK")</f>
        <v>OK</v>
      </c>
    </row>
    <row r="12" customFormat="false" ht="15" hidden="false" customHeight="false" outlineLevel="0" collapsed="false">
      <c r="A12" s="67" t="s">
        <v>189</v>
      </c>
      <c r="B12" s="67" t="s">
        <v>190</v>
      </c>
      <c r="C12" s="68" t="n">
        <v>46088</v>
      </c>
      <c r="D12" s="67" t="n">
        <v>61</v>
      </c>
      <c r="E12" s="67" t="s">
        <v>173</v>
      </c>
      <c r="F12" s="67" t="s">
        <v>63</v>
      </c>
      <c r="G12" s="67" t="s">
        <v>64</v>
      </c>
      <c r="H12" s="67" t="s">
        <v>64</v>
      </c>
      <c r="I12" s="67" t="s">
        <v>108</v>
      </c>
      <c r="J12" s="67" t="n">
        <v>14</v>
      </c>
      <c r="K12" s="69" t="n">
        <v>4.9</v>
      </c>
      <c r="L12" s="70" t="n">
        <v>85502</v>
      </c>
      <c r="M12" s="67" t="s">
        <v>165</v>
      </c>
      <c r="N12" s="67" t="s">
        <v>169</v>
      </c>
      <c r="O12" s="67" t="n">
        <v>5</v>
      </c>
      <c r="P12" s="67" t="s">
        <v>112</v>
      </c>
      <c r="Q12" s="71" t="n">
        <f aca="false">MONTH(C12)</f>
        <v>3</v>
      </c>
      <c r="R12" s="72" t="str">
        <f aca="false">IF(D12&lt;=14,"1–14",IF(D12&lt;=24,"15–24",IF(D12&lt;=44,"25–44",IF(D12&lt;=64,"45–64","65+"))))</f>
        <v>45–64</v>
      </c>
      <c r="S12" s="72" t="str">
        <f aca="false">IF(J12&lt;=30,"Up to 30",IF(J12&lt;=60,"31–60",IF(J12&lt;=90,"61–90","Over 90")))</f>
        <v>Up to 30</v>
      </c>
      <c r="T12" s="71" t="n">
        <f aca="false">IF(J12&gt;'Scenario Lab'!$C$5,1,0)</f>
        <v>0</v>
      </c>
      <c r="U12" s="71" t="n">
        <f aca="false">IF(M12="Yes",1,0)</f>
        <v>1</v>
      </c>
      <c r="V12" s="71" t="n">
        <f aca="false">IF(AND(M12="Yes",N12="Yes"),1,0)</f>
        <v>0</v>
      </c>
      <c r="W12" s="72" t="str">
        <f aca="false">IF(AND(G12="Maternal Health",E12="Male",D12&gt;=15),"Review","OK")</f>
        <v>OK</v>
      </c>
    </row>
    <row r="13" customFormat="false" ht="15" hidden="false" customHeight="false" outlineLevel="0" collapsed="false">
      <c r="A13" s="67" t="s">
        <v>191</v>
      </c>
      <c r="B13" s="67" t="s">
        <v>192</v>
      </c>
      <c r="C13" s="68" t="n">
        <v>46287</v>
      </c>
      <c r="D13" s="67" t="n">
        <v>34</v>
      </c>
      <c r="E13" s="67" t="s">
        <v>173</v>
      </c>
      <c r="F13" s="67" t="s">
        <v>63</v>
      </c>
      <c r="G13" s="67" t="s">
        <v>62</v>
      </c>
      <c r="H13" s="67" t="s">
        <v>113</v>
      </c>
      <c r="I13" s="67" t="s">
        <v>108</v>
      </c>
      <c r="J13" s="67" t="n">
        <v>51</v>
      </c>
      <c r="K13" s="69" t="n">
        <v>2.1</v>
      </c>
      <c r="L13" s="70" t="n">
        <v>97774</v>
      </c>
      <c r="M13" s="67" t="s">
        <v>165</v>
      </c>
      <c r="N13" s="67" t="s">
        <v>165</v>
      </c>
      <c r="O13" s="67" t="n">
        <v>4</v>
      </c>
      <c r="P13" s="67" t="s">
        <v>166</v>
      </c>
      <c r="Q13" s="71" t="n">
        <f aca="false">MONTH(C13)</f>
        <v>9</v>
      </c>
      <c r="R13" s="72" t="str">
        <f aca="false">IF(D13&lt;=14,"1–14",IF(D13&lt;=24,"15–24",IF(D13&lt;=44,"25–44",IF(D13&lt;=64,"45–64","65+"))))</f>
        <v>25–44</v>
      </c>
      <c r="S13" s="72" t="str">
        <f aca="false">IF(J13&lt;=30,"Up to 30",IF(J13&lt;=60,"31–60",IF(J13&lt;=90,"61–90","Over 90")))</f>
        <v>31–60</v>
      </c>
      <c r="T13" s="71" t="n">
        <f aca="false">IF(J13&gt;'Scenario Lab'!$C$5,1,0)</f>
        <v>0</v>
      </c>
      <c r="U13" s="71" t="n">
        <f aca="false">IF(M13="Yes",1,0)</f>
        <v>1</v>
      </c>
      <c r="V13" s="71" t="n">
        <f aca="false">IF(AND(M13="Yes",N13="Yes"),1,0)</f>
        <v>1</v>
      </c>
      <c r="W13" s="72" t="str">
        <f aca="false">IF(AND(G13="Maternal Health",E13="Male",D13&gt;=15),"Review","OK")</f>
        <v>Review</v>
      </c>
    </row>
    <row r="14" customFormat="false" ht="15" hidden="false" customHeight="false" outlineLevel="0" collapsed="false">
      <c r="A14" s="67" t="s">
        <v>193</v>
      </c>
      <c r="B14" s="67" t="s">
        <v>194</v>
      </c>
      <c r="C14" s="68" t="n">
        <v>46144</v>
      </c>
      <c r="D14" s="67" t="n">
        <v>4</v>
      </c>
      <c r="E14" s="67" t="s">
        <v>164</v>
      </c>
      <c r="F14" s="67" t="s">
        <v>67</v>
      </c>
      <c r="G14" s="67" t="s">
        <v>58</v>
      </c>
      <c r="H14" s="67" t="s">
        <v>58</v>
      </c>
      <c r="I14" s="67" t="s">
        <v>107</v>
      </c>
      <c r="J14" s="67" t="n">
        <v>77</v>
      </c>
      <c r="K14" s="69" t="n">
        <v>1.4</v>
      </c>
      <c r="L14" s="70" t="n">
        <v>127173</v>
      </c>
      <c r="M14" s="67" t="s">
        <v>169</v>
      </c>
      <c r="N14" s="67" t="s">
        <v>170</v>
      </c>
      <c r="O14" s="67" t="n">
        <v>5</v>
      </c>
      <c r="P14" s="67" t="s">
        <v>166</v>
      </c>
      <c r="Q14" s="71" t="n">
        <f aca="false">MONTH(C14)</f>
        <v>5</v>
      </c>
      <c r="R14" s="72" t="str">
        <f aca="false">IF(D14&lt;=14,"1–14",IF(D14&lt;=24,"15–24",IF(D14&lt;=44,"25–44",IF(D14&lt;=64,"45–64","65+"))))</f>
        <v>1–14</v>
      </c>
      <c r="S14" s="72" t="str">
        <f aca="false">IF(J14&lt;=30,"Up to 30",IF(J14&lt;=60,"31–60",IF(J14&lt;=90,"61–90","Over 90")))</f>
        <v>61–90</v>
      </c>
      <c r="T14" s="71" t="n">
        <f aca="false">IF(J14&gt;'Scenario Lab'!$C$5,1,0)</f>
        <v>1</v>
      </c>
      <c r="U14" s="71" t="n">
        <f aca="false">IF(M14="Yes",1,0)</f>
        <v>0</v>
      </c>
      <c r="V14" s="71" t="n">
        <f aca="false">IF(AND(M14="Yes",N14="Yes"),1,0)</f>
        <v>0</v>
      </c>
      <c r="W14" s="72" t="str">
        <f aca="false">IF(AND(G14="Maternal Health",E14="Male",D14&gt;=15),"Review","OK")</f>
        <v>OK</v>
      </c>
    </row>
    <row r="15" customFormat="false" ht="15" hidden="false" customHeight="false" outlineLevel="0" collapsed="false">
      <c r="A15" s="67" t="s">
        <v>195</v>
      </c>
      <c r="B15" s="67" t="s">
        <v>196</v>
      </c>
      <c r="C15" s="68" t="n">
        <v>46073</v>
      </c>
      <c r="D15" s="67" t="n">
        <v>12</v>
      </c>
      <c r="E15" s="67" t="s">
        <v>173</v>
      </c>
      <c r="F15" s="67" t="s">
        <v>63</v>
      </c>
      <c r="G15" s="67" t="s">
        <v>66</v>
      </c>
      <c r="H15" s="67" t="s">
        <v>112</v>
      </c>
      <c r="I15" s="67" t="s">
        <v>106</v>
      </c>
      <c r="J15" s="67" t="n">
        <v>43</v>
      </c>
      <c r="K15" s="69" t="n">
        <v>0</v>
      </c>
      <c r="L15" s="70" t="n">
        <v>50048</v>
      </c>
      <c r="M15" s="67" t="s">
        <v>165</v>
      </c>
      <c r="N15" s="67" t="s">
        <v>165</v>
      </c>
      <c r="O15" s="67" t="n">
        <v>5</v>
      </c>
      <c r="P15" s="67" t="s">
        <v>112</v>
      </c>
      <c r="Q15" s="71" t="n">
        <f aca="false">MONTH(C15)</f>
        <v>2</v>
      </c>
      <c r="R15" s="72" t="str">
        <f aca="false">IF(D15&lt;=14,"1–14",IF(D15&lt;=24,"15–24",IF(D15&lt;=44,"25–44",IF(D15&lt;=64,"45–64","65+"))))</f>
        <v>1–14</v>
      </c>
      <c r="S15" s="72" t="str">
        <f aca="false">IF(J15&lt;=30,"Up to 30",IF(J15&lt;=60,"31–60",IF(J15&lt;=90,"61–90","Over 90")))</f>
        <v>31–60</v>
      </c>
      <c r="T15" s="71" t="n">
        <f aca="false">IF(J15&gt;'Scenario Lab'!$C$5,1,0)</f>
        <v>0</v>
      </c>
      <c r="U15" s="71" t="n">
        <f aca="false">IF(M15="Yes",1,0)</f>
        <v>1</v>
      </c>
      <c r="V15" s="71" t="n">
        <f aca="false">IF(AND(M15="Yes",N15="Yes"),1,0)</f>
        <v>1</v>
      </c>
      <c r="W15" s="72" t="str">
        <f aca="false">IF(AND(G15="Maternal Health",E15="Male",D15&gt;=15),"Review","OK")</f>
        <v>OK</v>
      </c>
    </row>
    <row r="16" customFormat="false" ht="15" hidden="false" customHeight="false" outlineLevel="0" collapsed="false">
      <c r="A16" s="67" t="s">
        <v>197</v>
      </c>
      <c r="B16" s="67" t="s">
        <v>198</v>
      </c>
      <c r="C16" s="68" t="n">
        <v>46073</v>
      </c>
      <c r="D16" s="67" t="n">
        <v>31</v>
      </c>
      <c r="E16" s="67" t="s">
        <v>164</v>
      </c>
      <c r="F16" s="67" t="s">
        <v>63</v>
      </c>
      <c r="G16" s="67" t="s">
        <v>60</v>
      </c>
      <c r="H16" s="67" t="s">
        <v>64</v>
      </c>
      <c r="I16" s="67" t="s">
        <v>105</v>
      </c>
      <c r="J16" s="67" t="n">
        <v>19</v>
      </c>
      <c r="K16" s="69" t="n">
        <v>0</v>
      </c>
      <c r="L16" s="70" t="n">
        <v>60473</v>
      </c>
      <c r="M16" s="67" t="s">
        <v>169</v>
      </c>
      <c r="N16" s="67" t="s">
        <v>170</v>
      </c>
      <c r="O16" s="67" t="n">
        <v>5</v>
      </c>
      <c r="P16" s="67" t="s">
        <v>166</v>
      </c>
      <c r="Q16" s="71" t="n">
        <f aca="false">MONTH(C16)</f>
        <v>2</v>
      </c>
      <c r="R16" s="72" t="str">
        <f aca="false">IF(D16&lt;=14,"1–14",IF(D16&lt;=24,"15–24",IF(D16&lt;=44,"25–44",IF(D16&lt;=64,"45–64","65+"))))</f>
        <v>25–44</v>
      </c>
      <c r="S16" s="72" t="str">
        <f aca="false">IF(J16&lt;=30,"Up to 30",IF(J16&lt;=60,"31–60",IF(J16&lt;=90,"61–90","Over 90")))</f>
        <v>Up to 30</v>
      </c>
      <c r="T16" s="71" t="n">
        <f aca="false">IF(J16&gt;'Scenario Lab'!$C$5,1,0)</f>
        <v>0</v>
      </c>
      <c r="U16" s="71" t="n">
        <f aca="false">IF(M16="Yes",1,0)</f>
        <v>0</v>
      </c>
      <c r="V16" s="71" t="n">
        <f aca="false">IF(AND(M16="Yes",N16="Yes"),1,0)</f>
        <v>0</v>
      </c>
      <c r="W16" s="72" t="str">
        <f aca="false">IF(AND(G16="Maternal Health",E16="Male",D16&gt;=15),"Review","OK")</f>
        <v>OK</v>
      </c>
    </row>
    <row r="17" customFormat="false" ht="15" hidden="false" customHeight="false" outlineLevel="0" collapsed="false">
      <c r="A17" s="67" t="s">
        <v>199</v>
      </c>
      <c r="B17" s="67" t="s">
        <v>200</v>
      </c>
      <c r="C17" s="68" t="n">
        <v>46255</v>
      </c>
      <c r="D17" s="67" t="n">
        <v>72</v>
      </c>
      <c r="E17" s="67" t="s">
        <v>164</v>
      </c>
      <c r="F17" s="67" t="s">
        <v>63</v>
      </c>
      <c r="G17" s="67" t="s">
        <v>60</v>
      </c>
      <c r="H17" s="67" t="s">
        <v>64</v>
      </c>
      <c r="I17" s="67" t="s">
        <v>105</v>
      </c>
      <c r="J17" s="67" t="n">
        <v>47</v>
      </c>
      <c r="K17" s="69" t="n">
        <v>0</v>
      </c>
      <c r="L17" s="70" t="n">
        <v>51580</v>
      </c>
      <c r="M17" s="67" t="s">
        <v>165</v>
      </c>
      <c r="N17" s="67" t="s">
        <v>169</v>
      </c>
      <c r="O17" s="67" t="n">
        <v>4</v>
      </c>
      <c r="P17" s="67" t="s">
        <v>166</v>
      </c>
      <c r="Q17" s="71" t="n">
        <f aca="false">MONTH(C17)</f>
        <v>8</v>
      </c>
      <c r="R17" s="72" t="str">
        <f aca="false">IF(D17&lt;=14,"1–14",IF(D17&lt;=24,"15–24",IF(D17&lt;=44,"25–44",IF(D17&lt;=64,"45–64","65+"))))</f>
        <v>65+</v>
      </c>
      <c r="S17" s="72" t="str">
        <f aca="false">IF(J17&lt;=30,"Up to 30",IF(J17&lt;=60,"31–60",IF(J17&lt;=90,"61–90","Over 90")))</f>
        <v>31–60</v>
      </c>
      <c r="T17" s="71" t="n">
        <f aca="false">IF(J17&gt;'Scenario Lab'!$C$5,1,0)</f>
        <v>0</v>
      </c>
      <c r="U17" s="71" t="n">
        <f aca="false">IF(M17="Yes",1,0)</f>
        <v>1</v>
      </c>
      <c r="V17" s="71" t="n">
        <f aca="false">IF(AND(M17="Yes",N17="Yes"),1,0)</f>
        <v>0</v>
      </c>
      <c r="W17" s="72" t="str">
        <f aca="false">IF(AND(G17="Maternal Health",E17="Male",D17&gt;=15),"Review","OK")</f>
        <v>OK</v>
      </c>
    </row>
    <row r="18" customFormat="false" ht="15" hidden="false" customHeight="false" outlineLevel="0" collapsed="false">
      <c r="A18" s="67" t="s">
        <v>201</v>
      </c>
      <c r="B18" s="67" t="s">
        <v>202</v>
      </c>
      <c r="C18" s="68" t="n">
        <v>46294</v>
      </c>
      <c r="D18" s="67" t="n">
        <v>13</v>
      </c>
      <c r="E18" s="67" t="s">
        <v>173</v>
      </c>
      <c r="F18" s="67" t="s">
        <v>63</v>
      </c>
      <c r="G18" s="67" t="s">
        <v>66</v>
      </c>
      <c r="H18" s="67" t="s">
        <v>64</v>
      </c>
      <c r="I18" s="67" t="s">
        <v>107</v>
      </c>
      <c r="J18" s="67" t="n">
        <v>17</v>
      </c>
      <c r="K18" s="69" t="n">
        <v>0</v>
      </c>
      <c r="L18" s="70" t="n">
        <v>41706</v>
      </c>
      <c r="M18" s="67" t="s">
        <v>165</v>
      </c>
      <c r="N18" s="67" t="s">
        <v>165</v>
      </c>
      <c r="O18" s="67" t="n">
        <v>5</v>
      </c>
      <c r="P18" s="67" t="s">
        <v>166</v>
      </c>
      <c r="Q18" s="71" t="n">
        <f aca="false">MONTH(C18)</f>
        <v>9</v>
      </c>
      <c r="R18" s="72" t="str">
        <f aca="false">IF(D18&lt;=14,"1–14",IF(D18&lt;=24,"15–24",IF(D18&lt;=44,"25–44",IF(D18&lt;=64,"45–64","65+"))))</f>
        <v>1–14</v>
      </c>
      <c r="S18" s="72" t="str">
        <f aca="false">IF(J18&lt;=30,"Up to 30",IF(J18&lt;=60,"31–60",IF(J18&lt;=90,"61–90","Over 90")))</f>
        <v>Up to 30</v>
      </c>
      <c r="T18" s="71" t="n">
        <f aca="false">IF(J18&gt;'Scenario Lab'!$C$5,1,0)</f>
        <v>0</v>
      </c>
      <c r="U18" s="71" t="n">
        <f aca="false">IF(M18="Yes",1,0)</f>
        <v>1</v>
      </c>
      <c r="V18" s="71" t="n">
        <f aca="false">IF(AND(M18="Yes",N18="Yes"),1,0)</f>
        <v>1</v>
      </c>
      <c r="W18" s="72" t="str">
        <f aca="false">IF(AND(G18="Maternal Health",E18="Male",D18&gt;=15),"Review","OK")</f>
        <v>OK</v>
      </c>
    </row>
    <row r="19" customFormat="false" ht="15" hidden="false" customHeight="false" outlineLevel="0" collapsed="false">
      <c r="A19" s="67" t="s">
        <v>203</v>
      </c>
      <c r="B19" s="67" t="s">
        <v>204</v>
      </c>
      <c r="C19" s="68" t="n">
        <v>46237</v>
      </c>
      <c r="D19" s="67" t="n">
        <v>43</v>
      </c>
      <c r="E19" s="67" t="s">
        <v>164</v>
      </c>
      <c r="F19" s="67" t="s">
        <v>59</v>
      </c>
      <c r="G19" s="67" t="s">
        <v>60</v>
      </c>
      <c r="H19" s="67" t="s">
        <v>58</v>
      </c>
      <c r="I19" s="67" t="s">
        <v>104</v>
      </c>
      <c r="J19" s="67" t="n">
        <v>46</v>
      </c>
      <c r="K19" s="69" t="n">
        <v>0.1</v>
      </c>
      <c r="L19" s="70" t="n">
        <v>74931</v>
      </c>
      <c r="M19" s="67" t="s">
        <v>165</v>
      </c>
      <c r="N19" s="67" t="s">
        <v>165</v>
      </c>
      <c r="O19" s="67" t="n">
        <v>5</v>
      </c>
      <c r="P19" s="67" t="s">
        <v>112</v>
      </c>
      <c r="Q19" s="71" t="n">
        <f aca="false">MONTH(C19)</f>
        <v>8</v>
      </c>
      <c r="R19" s="72" t="str">
        <f aca="false">IF(D19&lt;=14,"1–14",IF(D19&lt;=24,"15–24",IF(D19&lt;=44,"25–44",IF(D19&lt;=64,"45–64","65+"))))</f>
        <v>25–44</v>
      </c>
      <c r="S19" s="72" t="str">
        <f aca="false">IF(J19&lt;=30,"Up to 30",IF(J19&lt;=60,"31–60",IF(J19&lt;=90,"61–90","Over 90")))</f>
        <v>31–60</v>
      </c>
      <c r="T19" s="71" t="n">
        <f aca="false">IF(J19&gt;'Scenario Lab'!$C$5,1,0)</f>
        <v>0</v>
      </c>
      <c r="U19" s="71" t="n">
        <f aca="false">IF(M19="Yes",1,0)</f>
        <v>1</v>
      </c>
      <c r="V19" s="71" t="n">
        <f aca="false">IF(AND(M19="Yes",N19="Yes"),1,0)</f>
        <v>1</v>
      </c>
      <c r="W19" s="72" t="str">
        <f aca="false">IF(AND(G19="Maternal Health",E19="Male",D19&gt;=15),"Review","OK")</f>
        <v>OK</v>
      </c>
    </row>
    <row r="20" customFormat="false" ht="15" hidden="false" customHeight="false" outlineLevel="0" collapsed="false">
      <c r="A20" s="67" t="s">
        <v>205</v>
      </c>
      <c r="B20" s="67" t="s">
        <v>206</v>
      </c>
      <c r="C20" s="68" t="n">
        <v>46257</v>
      </c>
      <c r="D20" s="67" t="n">
        <v>26</v>
      </c>
      <c r="E20" s="67" t="s">
        <v>164</v>
      </c>
      <c r="F20" s="67" t="s">
        <v>61</v>
      </c>
      <c r="G20" s="67" t="s">
        <v>62</v>
      </c>
      <c r="H20" s="67" t="s">
        <v>64</v>
      </c>
      <c r="I20" s="67" t="s">
        <v>108</v>
      </c>
      <c r="J20" s="67" t="n">
        <v>49</v>
      </c>
      <c r="K20" s="69" t="n">
        <v>0.5</v>
      </c>
      <c r="L20" s="70" t="n">
        <v>72605</v>
      </c>
      <c r="M20" s="67" t="s">
        <v>165</v>
      </c>
      <c r="N20" s="67" t="s">
        <v>169</v>
      </c>
      <c r="O20" s="67" t="n">
        <v>4</v>
      </c>
      <c r="P20" s="67" t="s">
        <v>166</v>
      </c>
      <c r="Q20" s="71" t="n">
        <f aca="false">MONTH(C20)</f>
        <v>8</v>
      </c>
      <c r="R20" s="72" t="str">
        <f aca="false">IF(D20&lt;=14,"1–14",IF(D20&lt;=24,"15–24",IF(D20&lt;=44,"25–44",IF(D20&lt;=64,"45–64","65+"))))</f>
        <v>25–44</v>
      </c>
      <c r="S20" s="72" t="str">
        <f aca="false">IF(J20&lt;=30,"Up to 30",IF(J20&lt;=60,"31–60",IF(J20&lt;=90,"61–90","Over 90")))</f>
        <v>31–60</v>
      </c>
      <c r="T20" s="71" t="n">
        <f aca="false">IF(J20&gt;'Scenario Lab'!$C$5,1,0)</f>
        <v>0</v>
      </c>
      <c r="U20" s="71" t="n">
        <f aca="false">IF(M20="Yes",1,0)</f>
        <v>1</v>
      </c>
      <c r="V20" s="71" t="n">
        <f aca="false">IF(AND(M20="Yes",N20="Yes"),1,0)</f>
        <v>0</v>
      </c>
      <c r="W20" s="72" t="str">
        <f aca="false">IF(AND(G20="Maternal Health",E20="Male",D20&gt;=15),"Review","OK")</f>
        <v>OK</v>
      </c>
    </row>
    <row r="21" customFormat="false" ht="15" hidden="false" customHeight="false" outlineLevel="0" collapsed="false">
      <c r="A21" s="67" t="s">
        <v>207</v>
      </c>
      <c r="B21" s="67" t="s">
        <v>208</v>
      </c>
      <c r="C21" s="68" t="n">
        <v>46177</v>
      </c>
      <c r="D21" s="67" t="n">
        <v>35</v>
      </c>
      <c r="E21" s="67" t="s">
        <v>164</v>
      </c>
      <c r="F21" s="67" t="s">
        <v>67</v>
      </c>
      <c r="G21" s="67" t="s">
        <v>62</v>
      </c>
      <c r="H21" s="67" t="s">
        <v>64</v>
      </c>
      <c r="I21" s="67" t="s">
        <v>108</v>
      </c>
      <c r="J21" s="67" t="n">
        <v>52</v>
      </c>
      <c r="K21" s="69" t="n">
        <v>4.5</v>
      </c>
      <c r="L21" s="70" t="n">
        <v>171951</v>
      </c>
      <c r="M21" s="67" t="s">
        <v>165</v>
      </c>
      <c r="N21" s="67" t="s">
        <v>165</v>
      </c>
      <c r="O21" s="67" t="n">
        <v>4</v>
      </c>
      <c r="P21" s="67" t="s">
        <v>180</v>
      </c>
      <c r="Q21" s="71" t="n">
        <f aca="false">MONTH(C21)</f>
        <v>6</v>
      </c>
      <c r="R21" s="72" t="str">
        <f aca="false">IF(D21&lt;=14,"1–14",IF(D21&lt;=24,"15–24",IF(D21&lt;=44,"25–44",IF(D21&lt;=64,"45–64","65+"))))</f>
        <v>25–44</v>
      </c>
      <c r="S21" s="72" t="str">
        <f aca="false">IF(J21&lt;=30,"Up to 30",IF(J21&lt;=60,"31–60",IF(J21&lt;=90,"61–90","Over 90")))</f>
        <v>31–60</v>
      </c>
      <c r="T21" s="71" t="n">
        <f aca="false">IF(J21&gt;'Scenario Lab'!$C$5,1,0)</f>
        <v>0</v>
      </c>
      <c r="U21" s="71" t="n">
        <f aca="false">IF(M21="Yes",1,0)</f>
        <v>1</v>
      </c>
      <c r="V21" s="71" t="n">
        <f aca="false">IF(AND(M21="Yes",N21="Yes"),1,0)</f>
        <v>1</v>
      </c>
      <c r="W21" s="72" t="str">
        <f aca="false">IF(AND(G21="Maternal Health",E21="Male",D21&gt;=15),"Review","OK")</f>
        <v>OK</v>
      </c>
    </row>
    <row r="22" customFormat="false" ht="15" hidden="false" customHeight="false" outlineLevel="0" collapsed="false">
      <c r="A22" s="67" t="s">
        <v>209</v>
      </c>
      <c r="B22" s="67" t="s">
        <v>210</v>
      </c>
      <c r="C22" s="68" t="n">
        <v>46198</v>
      </c>
      <c r="D22" s="67" t="n">
        <v>18</v>
      </c>
      <c r="E22" s="67" t="s">
        <v>173</v>
      </c>
      <c r="F22" s="67" t="s">
        <v>59</v>
      </c>
      <c r="G22" s="67" t="s">
        <v>62</v>
      </c>
      <c r="H22" s="67" t="s">
        <v>113</v>
      </c>
      <c r="I22" s="67" t="s">
        <v>108</v>
      </c>
      <c r="J22" s="67" t="n">
        <v>53</v>
      </c>
      <c r="K22" s="69" t="n">
        <v>0</v>
      </c>
      <c r="L22" s="70" t="n">
        <v>75483</v>
      </c>
      <c r="M22" s="67" t="s">
        <v>165</v>
      </c>
      <c r="N22" s="67" t="s">
        <v>165</v>
      </c>
      <c r="O22" s="67" t="n">
        <v>4</v>
      </c>
      <c r="P22" s="67" t="s">
        <v>112</v>
      </c>
      <c r="Q22" s="71" t="n">
        <f aca="false">MONTH(C22)</f>
        <v>6</v>
      </c>
      <c r="R22" s="72" t="str">
        <f aca="false">IF(D22&lt;=14,"1–14",IF(D22&lt;=24,"15–24",IF(D22&lt;=44,"25–44",IF(D22&lt;=64,"45–64","65+"))))</f>
        <v>15–24</v>
      </c>
      <c r="S22" s="72" t="str">
        <f aca="false">IF(J22&lt;=30,"Up to 30",IF(J22&lt;=60,"31–60",IF(J22&lt;=90,"61–90","Over 90")))</f>
        <v>31–60</v>
      </c>
      <c r="T22" s="71" t="n">
        <f aca="false">IF(J22&gt;'Scenario Lab'!$C$5,1,0)</f>
        <v>0</v>
      </c>
      <c r="U22" s="71" t="n">
        <f aca="false">IF(M22="Yes",1,0)</f>
        <v>1</v>
      </c>
      <c r="V22" s="71" t="n">
        <f aca="false">IF(AND(M22="Yes",N22="Yes"),1,0)</f>
        <v>1</v>
      </c>
      <c r="W22" s="72" t="str">
        <f aca="false">IF(AND(G22="Maternal Health",E22="Male",D22&gt;=15),"Review","OK")</f>
        <v>Review</v>
      </c>
    </row>
    <row r="23" customFormat="false" ht="15" hidden="false" customHeight="false" outlineLevel="0" collapsed="false">
      <c r="A23" s="67" t="s">
        <v>211</v>
      </c>
      <c r="B23" s="67" t="s">
        <v>212</v>
      </c>
      <c r="C23" s="68" t="n">
        <v>46157</v>
      </c>
      <c r="D23" s="67" t="n">
        <v>26</v>
      </c>
      <c r="E23" s="67" t="s">
        <v>173</v>
      </c>
      <c r="F23" s="67" t="s">
        <v>61</v>
      </c>
      <c r="G23" s="67" t="s">
        <v>60</v>
      </c>
      <c r="H23" s="67" t="s">
        <v>113</v>
      </c>
      <c r="I23" s="67" t="s">
        <v>106</v>
      </c>
      <c r="J23" s="67" t="n">
        <v>38</v>
      </c>
      <c r="K23" s="69" t="n">
        <v>0</v>
      </c>
      <c r="L23" s="70" t="n">
        <v>46362</v>
      </c>
      <c r="M23" s="67" t="s">
        <v>165</v>
      </c>
      <c r="N23" s="67" t="s">
        <v>169</v>
      </c>
      <c r="O23" s="67" t="n">
        <v>5</v>
      </c>
      <c r="P23" s="67" t="s">
        <v>112</v>
      </c>
      <c r="Q23" s="71" t="n">
        <f aca="false">MONTH(C23)</f>
        <v>5</v>
      </c>
      <c r="R23" s="72" t="str">
        <f aca="false">IF(D23&lt;=14,"1–14",IF(D23&lt;=24,"15–24",IF(D23&lt;=44,"25–44",IF(D23&lt;=64,"45–64","65+"))))</f>
        <v>25–44</v>
      </c>
      <c r="S23" s="72" t="str">
        <f aca="false">IF(J23&lt;=30,"Up to 30",IF(J23&lt;=60,"31–60",IF(J23&lt;=90,"61–90","Over 90")))</f>
        <v>31–60</v>
      </c>
      <c r="T23" s="71" t="n">
        <f aca="false">IF(J23&gt;'Scenario Lab'!$C$5,1,0)</f>
        <v>0</v>
      </c>
      <c r="U23" s="71" t="n">
        <f aca="false">IF(M23="Yes",1,0)</f>
        <v>1</v>
      </c>
      <c r="V23" s="71" t="n">
        <f aca="false">IF(AND(M23="Yes",N23="Yes"),1,0)</f>
        <v>0</v>
      </c>
      <c r="W23" s="72" t="str">
        <f aca="false">IF(AND(G23="Maternal Health",E23="Male",D23&gt;=15),"Review","OK")</f>
        <v>OK</v>
      </c>
    </row>
    <row r="24" customFormat="false" ht="15" hidden="false" customHeight="false" outlineLevel="0" collapsed="false">
      <c r="A24" s="67" t="s">
        <v>213</v>
      </c>
      <c r="B24" s="67" t="s">
        <v>214</v>
      </c>
      <c r="C24" s="68" t="n">
        <v>46088</v>
      </c>
      <c r="D24" s="67" t="n">
        <v>8</v>
      </c>
      <c r="E24" s="67" t="s">
        <v>164</v>
      </c>
      <c r="F24" s="67" t="s">
        <v>59</v>
      </c>
      <c r="G24" s="67" t="s">
        <v>60</v>
      </c>
      <c r="H24" s="67" t="s">
        <v>64</v>
      </c>
      <c r="I24" s="67" t="s">
        <v>108</v>
      </c>
      <c r="J24" s="67" t="n">
        <v>56</v>
      </c>
      <c r="K24" s="69" t="n">
        <v>3.8</v>
      </c>
      <c r="L24" s="70" t="n">
        <v>85231</v>
      </c>
      <c r="M24" s="67" t="s">
        <v>169</v>
      </c>
      <c r="N24" s="67" t="s">
        <v>170</v>
      </c>
      <c r="O24" s="67" t="n">
        <v>4</v>
      </c>
      <c r="P24" s="67" t="s">
        <v>166</v>
      </c>
      <c r="Q24" s="71" t="n">
        <f aca="false">MONTH(C24)</f>
        <v>3</v>
      </c>
      <c r="R24" s="72" t="str">
        <f aca="false">IF(D24&lt;=14,"1–14",IF(D24&lt;=24,"15–24",IF(D24&lt;=44,"25–44",IF(D24&lt;=64,"45–64","65+"))))</f>
        <v>1–14</v>
      </c>
      <c r="S24" s="72" t="str">
        <f aca="false">IF(J24&lt;=30,"Up to 30",IF(J24&lt;=60,"31–60",IF(J24&lt;=90,"61–90","Over 90")))</f>
        <v>31–60</v>
      </c>
      <c r="T24" s="71" t="n">
        <f aca="false">IF(J24&gt;'Scenario Lab'!$C$5,1,0)</f>
        <v>0</v>
      </c>
      <c r="U24" s="71" t="n">
        <f aca="false">IF(M24="Yes",1,0)</f>
        <v>0</v>
      </c>
      <c r="V24" s="71" t="n">
        <f aca="false">IF(AND(M24="Yes",N24="Yes"),1,0)</f>
        <v>0</v>
      </c>
      <c r="W24" s="72" t="str">
        <f aca="false">IF(AND(G24="Maternal Health",E24="Male",D24&gt;=15),"Review","OK")</f>
        <v>OK</v>
      </c>
    </row>
    <row r="25" customFormat="false" ht="15" hidden="false" customHeight="false" outlineLevel="0" collapsed="false">
      <c r="A25" s="67" t="s">
        <v>215</v>
      </c>
      <c r="B25" s="67" t="s">
        <v>216</v>
      </c>
      <c r="C25" s="68" t="n">
        <v>46144</v>
      </c>
      <c r="D25" s="67" t="n">
        <v>6</v>
      </c>
      <c r="E25" s="67" t="s">
        <v>164</v>
      </c>
      <c r="F25" s="67" t="s">
        <v>61</v>
      </c>
      <c r="G25" s="67" t="s">
        <v>60</v>
      </c>
      <c r="H25" s="67" t="s">
        <v>64</v>
      </c>
      <c r="I25" s="67" t="s">
        <v>107</v>
      </c>
      <c r="J25" s="67" t="n">
        <v>75</v>
      </c>
      <c r="K25" s="69" t="n">
        <v>0</v>
      </c>
      <c r="L25" s="70" t="n">
        <v>59725</v>
      </c>
      <c r="M25" s="67" t="s">
        <v>165</v>
      </c>
      <c r="N25" s="67" t="s">
        <v>165</v>
      </c>
      <c r="O25" s="67" t="n">
        <v>3</v>
      </c>
      <c r="P25" s="67" t="s">
        <v>166</v>
      </c>
      <c r="Q25" s="71" t="n">
        <f aca="false">MONTH(C25)</f>
        <v>5</v>
      </c>
      <c r="R25" s="72" t="str">
        <f aca="false">IF(D25&lt;=14,"1–14",IF(D25&lt;=24,"15–24",IF(D25&lt;=44,"25–44",IF(D25&lt;=64,"45–64","65+"))))</f>
        <v>1–14</v>
      </c>
      <c r="S25" s="72" t="str">
        <f aca="false">IF(J25&lt;=30,"Up to 30",IF(J25&lt;=60,"31–60",IF(J25&lt;=90,"61–90","Over 90")))</f>
        <v>61–90</v>
      </c>
      <c r="T25" s="71" t="n">
        <f aca="false">IF(J25&gt;'Scenario Lab'!$C$5,1,0)</f>
        <v>1</v>
      </c>
      <c r="U25" s="71" t="n">
        <f aca="false">IF(M25="Yes",1,0)</f>
        <v>1</v>
      </c>
      <c r="V25" s="71" t="n">
        <f aca="false">IF(AND(M25="Yes",N25="Yes"),1,0)</f>
        <v>1</v>
      </c>
      <c r="W25" s="72" t="str">
        <f aca="false">IF(AND(G25="Maternal Health",E25="Male",D25&gt;=15),"Review","OK")</f>
        <v>OK</v>
      </c>
    </row>
    <row r="26" customFormat="false" ht="15" hidden="false" customHeight="false" outlineLevel="0" collapsed="false">
      <c r="A26" s="67" t="s">
        <v>217</v>
      </c>
      <c r="B26" s="67" t="s">
        <v>218</v>
      </c>
      <c r="C26" s="68" t="n">
        <v>46104</v>
      </c>
      <c r="D26" s="67" t="n">
        <v>70</v>
      </c>
      <c r="E26" s="67" t="s">
        <v>173</v>
      </c>
      <c r="F26" s="67" t="s">
        <v>59</v>
      </c>
      <c r="G26" s="67" t="s">
        <v>64</v>
      </c>
      <c r="H26" s="67" t="s">
        <v>64</v>
      </c>
      <c r="I26" s="67" t="s">
        <v>108</v>
      </c>
      <c r="J26" s="67" t="n">
        <v>30</v>
      </c>
      <c r="K26" s="69" t="n">
        <v>2.3</v>
      </c>
      <c r="L26" s="70" t="n">
        <v>45379</v>
      </c>
      <c r="M26" s="67" t="s">
        <v>169</v>
      </c>
      <c r="N26" s="67" t="s">
        <v>170</v>
      </c>
      <c r="O26" s="67" t="n">
        <v>5</v>
      </c>
      <c r="P26" s="67" t="s">
        <v>166</v>
      </c>
      <c r="Q26" s="71" t="n">
        <f aca="false">MONTH(C26)</f>
        <v>3</v>
      </c>
      <c r="R26" s="72" t="str">
        <f aca="false">IF(D26&lt;=14,"1–14",IF(D26&lt;=24,"15–24",IF(D26&lt;=44,"25–44",IF(D26&lt;=64,"45–64","65+"))))</f>
        <v>65+</v>
      </c>
      <c r="S26" s="72" t="str">
        <f aca="false">IF(J26&lt;=30,"Up to 30",IF(J26&lt;=60,"31–60",IF(J26&lt;=90,"61–90","Over 90")))</f>
        <v>Up to 30</v>
      </c>
      <c r="T26" s="71" t="n">
        <f aca="false">IF(J26&gt;'Scenario Lab'!$C$5,1,0)</f>
        <v>0</v>
      </c>
      <c r="U26" s="71" t="n">
        <f aca="false">IF(M26="Yes",1,0)</f>
        <v>0</v>
      </c>
      <c r="V26" s="71" t="n">
        <f aca="false">IF(AND(M26="Yes",N26="Yes"),1,0)</f>
        <v>0</v>
      </c>
      <c r="W26" s="72" t="str">
        <f aca="false">IF(AND(G26="Maternal Health",E26="Male",D26&gt;=15),"Review","OK")</f>
        <v>OK</v>
      </c>
    </row>
    <row r="27" customFormat="false" ht="15" hidden="false" customHeight="false" outlineLevel="0" collapsed="false">
      <c r="A27" s="67" t="s">
        <v>219</v>
      </c>
      <c r="B27" s="67" t="s">
        <v>220</v>
      </c>
      <c r="C27" s="68" t="n">
        <v>46165</v>
      </c>
      <c r="D27" s="67" t="n">
        <v>65</v>
      </c>
      <c r="E27" s="67" t="s">
        <v>173</v>
      </c>
      <c r="F27" s="67" t="s">
        <v>63</v>
      </c>
      <c r="G27" s="67" t="s">
        <v>64</v>
      </c>
      <c r="H27" s="67" t="s">
        <v>64</v>
      </c>
      <c r="I27" s="67" t="s">
        <v>108</v>
      </c>
      <c r="J27" s="67" t="n">
        <v>55</v>
      </c>
      <c r="K27" s="69" t="n">
        <v>0.4</v>
      </c>
      <c r="L27" s="70" t="n">
        <v>45186</v>
      </c>
      <c r="M27" s="67" t="s">
        <v>165</v>
      </c>
      <c r="N27" s="67" t="s">
        <v>165</v>
      </c>
      <c r="O27" s="67" t="n">
        <v>3</v>
      </c>
      <c r="P27" s="67" t="s">
        <v>166</v>
      </c>
      <c r="Q27" s="71" t="n">
        <f aca="false">MONTH(C27)</f>
        <v>5</v>
      </c>
      <c r="R27" s="72" t="str">
        <f aca="false">IF(D27&lt;=14,"1–14",IF(D27&lt;=24,"15–24",IF(D27&lt;=44,"25–44",IF(D27&lt;=64,"45–64","65+"))))</f>
        <v>65+</v>
      </c>
      <c r="S27" s="72" t="str">
        <f aca="false">IF(J27&lt;=30,"Up to 30",IF(J27&lt;=60,"31–60",IF(J27&lt;=90,"61–90","Over 90")))</f>
        <v>31–60</v>
      </c>
      <c r="T27" s="71" t="n">
        <f aca="false">IF(J27&gt;'Scenario Lab'!$C$5,1,0)</f>
        <v>0</v>
      </c>
      <c r="U27" s="71" t="n">
        <f aca="false">IF(M27="Yes",1,0)</f>
        <v>1</v>
      </c>
      <c r="V27" s="71" t="n">
        <f aca="false">IF(AND(M27="Yes",N27="Yes"),1,0)</f>
        <v>1</v>
      </c>
      <c r="W27" s="72" t="str">
        <f aca="false">IF(AND(G27="Maternal Health",E27="Male",D27&gt;=15),"Review","OK")</f>
        <v>OK</v>
      </c>
    </row>
    <row r="28" customFormat="false" ht="15" hidden="false" customHeight="false" outlineLevel="0" collapsed="false">
      <c r="A28" s="67" t="s">
        <v>221</v>
      </c>
      <c r="B28" s="67" t="s">
        <v>222</v>
      </c>
      <c r="C28" s="68" t="n">
        <v>46245</v>
      </c>
      <c r="D28" s="67" t="n">
        <v>51</v>
      </c>
      <c r="E28" s="67" t="s">
        <v>173</v>
      </c>
      <c r="F28" s="67" t="s">
        <v>67</v>
      </c>
      <c r="G28" s="67" t="s">
        <v>64</v>
      </c>
      <c r="H28" s="67" t="s">
        <v>64</v>
      </c>
      <c r="I28" s="67" t="s">
        <v>107</v>
      </c>
      <c r="J28" s="67" t="n">
        <v>32</v>
      </c>
      <c r="K28" s="69" t="n">
        <v>3.4</v>
      </c>
      <c r="L28" s="70" t="n">
        <v>64035</v>
      </c>
      <c r="M28" s="67" t="s">
        <v>169</v>
      </c>
      <c r="N28" s="67" t="s">
        <v>170</v>
      </c>
      <c r="O28" s="67" t="n">
        <v>5</v>
      </c>
      <c r="P28" s="67" t="s">
        <v>166</v>
      </c>
      <c r="Q28" s="71" t="n">
        <f aca="false">MONTH(C28)</f>
        <v>8</v>
      </c>
      <c r="R28" s="72" t="str">
        <f aca="false">IF(D28&lt;=14,"1–14",IF(D28&lt;=24,"15–24",IF(D28&lt;=44,"25–44",IF(D28&lt;=64,"45–64","65+"))))</f>
        <v>45–64</v>
      </c>
      <c r="S28" s="72" t="str">
        <f aca="false">IF(J28&lt;=30,"Up to 30",IF(J28&lt;=60,"31–60",IF(J28&lt;=90,"61–90","Over 90")))</f>
        <v>31–60</v>
      </c>
      <c r="T28" s="71" t="n">
        <f aca="false">IF(J28&gt;'Scenario Lab'!$C$5,1,0)</f>
        <v>0</v>
      </c>
      <c r="U28" s="71" t="n">
        <f aca="false">IF(M28="Yes",1,0)</f>
        <v>0</v>
      </c>
      <c r="V28" s="71" t="n">
        <f aca="false">IF(AND(M28="Yes",N28="Yes"),1,0)</f>
        <v>0</v>
      </c>
      <c r="W28" s="72" t="str">
        <f aca="false">IF(AND(G28="Maternal Health",E28="Male",D28&gt;=15),"Review","OK")</f>
        <v>OK</v>
      </c>
    </row>
    <row r="29" customFormat="false" ht="15" hidden="false" customHeight="false" outlineLevel="0" collapsed="false">
      <c r="A29" s="67" t="s">
        <v>223</v>
      </c>
      <c r="B29" s="67" t="s">
        <v>224</v>
      </c>
      <c r="C29" s="68" t="n">
        <v>46123</v>
      </c>
      <c r="D29" s="67" t="n">
        <v>9</v>
      </c>
      <c r="E29" s="67" t="s">
        <v>164</v>
      </c>
      <c r="F29" s="67" t="s">
        <v>65</v>
      </c>
      <c r="G29" s="67" t="s">
        <v>66</v>
      </c>
      <c r="H29" s="67" t="s">
        <v>113</v>
      </c>
      <c r="I29" s="67" t="s">
        <v>107</v>
      </c>
      <c r="J29" s="67" t="n">
        <v>25</v>
      </c>
      <c r="K29" s="69" t="n">
        <v>0</v>
      </c>
      <c r="L29" s="70" t="n">
        <v>31697</v>
      </c>
      <c r="M29" s="67" t="s">
        <v>169</v>
      </c>
      <c r="N29" s="67" t="s">
        <v>170</v>
      </c>
      <c r="O29" s="67" t="n">
        <v>5</v>
      </c>
      <c r="P29" s="67" t="s">
        <v>112</v>
      </c>
      <c r="Q29" s="71" t="n">
        <f aca="false">MONTH(C29)</f>
        <v>4</v>
      </c>
      <c r="R29" s="72" t="str">
        <f aca="false">IF(D29&lt;=14,"1–14",IF(D29&lt;=24,"15–24",IF(D29&lt;=44,"25–44",IF(D29&lt;=64,"45–64","65+"))))</f>
        <v>1–14</v>
      </c>
      <c r="S29" s="72" t="str">
        <f aca="false">IF(J29&lt;=30,"Up to 30",IF(J29&lt;=60,"31–60",IF(J29&lt;=90,"61–90","Over 90")))</f>
        <v>Up to 30</v>
      </c>
      <c r="T29" s="71" t="n">
        <f aca="false">IF(J29&gt;'Scenario Lab'!$C$5,1,0)</f>
        <v>0</v>
      </c>
      <c r="U29" s="71" t="n">
        <f aca="false">IF(M29="Yes",1,0)</f>
        <v>0</v>
      </c>
      <c r="V29" s="71" t="n">
        <f aca="false">IF(AND(M29="Yes",N29="Yes"),1,0)</f>
        <v>0</v>
      </c>
      <c r="W29" s="72" t="str">
        <f aca="false">IF(AND(G29="Maternal Health",E29="Male",D29&gt;=15),"Review","OK")</f>
        <v>OK</v>
      </c>
    </row>
    <row r="30" customFormat="false" ht="15" hidden="false" customHeight="false" outlineLevel="0" collapsed="false">
      <c r="A30" s="67" t="s">
        <v>225</v>
      </c>
      <c r="B30" s="67" t="s">
        <v>226</v>
      </c>
      <c r="C30" s="68" t="n">
        <v>46217</v>
      </c>
      <c r="D30" s="67" t="n">
        <v>6</v>
      </c>
      <c r="E30" s="67" t="s">
        <v>173</v>
      </c>
      <c r="F30" s="67" t="s">
        <v>59</v>
      </c>
      <c r="G30" s="67" t="s">
        <v>66</v>
      </c>
      <c r="H30" s="67" t="s">
        <v>112</v>
      </c>
      <c r="I30" s="67" t="s">
        <v>109</v>
      </c>
      <c r="J30" s="67" t="n">
        <v>52</v>
      </c>
      <c r="K30" s="69" t="n">
        <v>0.3</v>
      </c>
      <c r="L30" s="70" t="n">
        <v>37284</v>
      </c>
      <c r="M30" s="67" t="s">
        <v>165</v>
      </c>
      <c r="N30" s="67" t="s">
        <v>165</v>
      </c>
      <c r="O30" s="67" t="n">
        <v>5</v>
      </c>
      <c r="P30" s="67" t="s">
        <v>166</v>
      </c>
      <c r="Q30" s="71" t="n">
        <f aca="false">MONTH(C30)</f>
        <v>7</v>
      </c>
      <c r="R30" s="72" t="str">
        <f aca="false">IF(D30&lt;=14,"1–14",IF(D30&lt;=24,"15–24",IF(D30&lt;=44,"25–44",IF(D30&lt;=64,"45–64","65+"))))</f>
        <v>1–14</v>
      </c>
      <c r="S30" s="72" t="str">
        <f aca="false">IF(J30&lt;=30,"Up to 30",IF(J30&lt;=60,"31–60",IF(J30&lt;=90,"61–90","Over 90")))</f>
        <v>31–60</v>
      </c>
      <c r="T30" s="71" t="n">
        <f aca="false">IF(J30&gt;'Scenario Lab'!$C$5,1,0)</f>
        <v>0</v>
      </c>
      <c r="U30" s="71" t="n">
        <f aca="false">IF(M30="Yes",1,0)</f>
        <v>1</v>
      </c>
      <c r="V30" s="71" t="n">
        <f aca="false">IF(AND(M30="Yes",N30="Yes"),1,0)</f>
        <v>1</v>
      </c>
      <c r="W30" s="72" t="str">
        <f aca="false">IF(AND(G30="Maternal Health",E30="Male",D30&gt;=15),"Review","OK")</f>
        <v>OK</v>
      </c>
    </row>
    <row r="31" customFormat="false" ht="15" hidden="false" customHeight="false" outlineLevel="0" collapsed="false">
      <c r="A31" s="67" t="s">
        <v>227</v>
      </c>
      <c r="B31" s="67" t="s">
        <v>228</v>
      </c>
      <c r="C31" s="68" t="n">
        <v>46249</v>
      </c>
      <c r="D31" s="67" t="n">
        <v>27</v>
      </c>
      <c r="E31" s="67" t="s">
        <v>173</v>
      </c>
      <c r="F31" s="67" t="s">
        <v>67</v>
      </c>
      <c r="G31" s="67" t="s">
        <v>62</v>
      </c>
      <c r="H31" s="67" t="s">
        <v>113</v>
      </c>
      <c r="I31" s="67" t="s">
        <v>108</v>
      </c>
      <c r="J31" s="67" t="n">
        <v>42</v>
      </c>
      <c r="K31" s="69" t="n">
        <v>0.3</v>
      </c>
      <c r="L31" s="70" t="n">
        <v>81942</v>
      </c>
      <c r="M31" s="67" t="s">
        <v>169</v>
      </c>
      <c r="N31" s="67" t="s">
        <v>170</v>
      </c>
      <c r="O31" s="67" t="n">
        <v>5</v>
      </c>
      <c r="P31" s="67" t="s">
        <v>166</v>
      </c>
      <c r="Q31" s="71" t="n">
        <f aca="false">MONTH(C31)</f>
        <v>8</v>
      </c>
      <c r="R31" s="72" t="str">
        <f aca="false">IF(D31&lt;=14,"1–14",IF(D31&lt;=24,"15–24",IF(D31&lt;=44,"25–44",IF(D31&lt;=64,"45–64","65+"))))</f>
        <v>25–44</v>
      </c>
      <c r="S31" s="72" t="str">
        <f aca="false">IF(J31&lt;=30,"Up to 30",IF(J31&lt;=60,"31–60",IF(J31&lt;=90,"61–90","Over 90")))</f>
        <v>31–60</v>
      </c>
      <c r="T31" s="71" t="n">
        <f aca="false">IF(J31&gt;'Scenario Lab'!$C$5,1,0)</f>
        <v>0</v>
      </c>
      <c r="U31" s="71" t="n">
        <f aca="false">IF(M31="Yes",1,0)</f>
        <v>0</v>
      </c>
      <c r="V31" s="71" t="n">
        <f aca="false">IF(AND(M31="Yes",N31="Yes"),1,0)</f>
        <v>0</v>
      </c>
      <c r="W31" s="72" t="str">
        <f aca="false">IF(AND(G31="Maternal Health",E31="Male",D31&gt;=15),"Review","OK")</f>
        <v>Review</v>
      </c>
    </row>
    <row r="32" customFormat="false" ht="15" hidden="false" customHeight="false" outlineLevel="0" collapsed="false">
      <c r="A32" s="67" t="s">
        <v>229</v>
      </c>
      <c r="B32" s="67" t="s">
        <v>230</v>
      </c>
      <c r="C32" s="68" t="n">
        <v>46124</v>
      </c>
      <c r="D32" s="67" t="n">
        <v>23</v>
      </c>
      <c r="E32" s="67" t="s">
        <v>164</v>
      </c>
      <c r="F32" s="67" t="s">
        <v>61</v>
      </c>
      <c r="G32" s="67" t="s">
        <v>58</v>
      </c>
      <c r="H32" s="67" t="s">
        <v>58</v>
      </c>
      <c r="I32" s="67" t="s">
        <v>103</v>
      </c>
      <c r="J32" s="67" t="n">
        <v>89</v>
      </c>
      <c r="K32" s="69" t="n">
        <v>0.3</v>
      </c>
      <c r="L32" s="70" t="n">
        <v>110513</v>
      </c>
      <c r="M32" s="67" t="s">
        <v>169</v>
      </c>
      <c r="N32" s="67" t="s">
        <v>170</v>
      </c>
      <c r="O32" s="67" t="n">
        <v>3</v>
      </c>
      <c r="P32" s="67" t="s">
        <v>166</v>
      </c>
      <c r="Q32" s="71" t="n">
        <f aca="false">MONTH(C32)</f>
        <v>4</v>
      </c>
      <c r="R32" s="72" t="str">
        <f aca="false">IF(D32&lt;=14,"1–14",IF(D32&lt;=24,"15–24",IF(D32&lt;=44,"25–44",IF(D32&lt;=64,"45–64","65+"))))</f>
        <v>15–24</v>
      </c>
      <c r="S32" s="72" t="str">
        <f aca="false">IF(J32&lt;=30,"Up to 30",IF(J32&lt;=60,"31–60",IF(J32&lt;=90,"61–90","Over 90")))</f>
        <v>61–90</v>
      </c>
      <c r="T32" s="71" t="n">
        <f aca="false">IF(J32&gt;'Scenario Lab'!$C$5,1,0)</f>
        <v>1</v>
      </c>
      <c r="U32" s="71" t="n">
        <f aca="false">IF(M32="Yes",1,0)</f>
        <v>0</v>
      </c>
      <c r="V32" s="71" t="n">
        <f aca="false">IF(AND(M32="Yes",N32="Yes"),1,0)</f>
        <v>0</v>
      </c>
      <c r="W32" s="72" t="str">
        <f aca="false">IF(AND(G32="Maternal Health",E32="Male",D32&gt;=15),"Review","OK")</f>
        <v>OK</v>
      </c>
    </row>
    <row r="33" customFormat="false" ht="15" hidden="false" customHeight="false" outlineLevel="0" collapsed="false">
      <c r="A33" s="67" t="s">
        <v>231</v>
      </c>
      <c r="B33" s="67" t="s">
        <v>232</v>
      </c>
      <c r="C33" s="68" t="n">
        <v>46077</v>
      </c>
      <c r="D33" s="67" t="n">
        <v>82</v>
      </c>
      <c r="E33" s="67" t="s">
        <v>164</v>
      </c>
      <c r="F33" s="67" t="s">
        <v>65</v>
      </c>
      <c r="G33" s="67" t="s">
        <v>60</v>
      </c>
      <c r="H33" s="67" t="s">
        <v>64</v>
      </c>
      <c r="I33" s="67" t="s">
        <v>103</v>
      </c>
      <c r="J33" s="67" t="n">
        <v>61</v>
      </c>
      <c r="K33" s="69" t="n">
        <v>0</v>
      </c>
      <c r="L33" s="70" t="n">
        <v>50326</v>
      </c>
      <c r="M33" s="67" t="s">
        <v>165</v>
      </c>
      <c r="N33" s="67" t="s">
        <v>165</v>
      </c>
      <c r="O33" s="67" t="n">
        <v>4</v>
      </c>
      <c r="P33" s="67" t="s">
        <v>166</v>
      </c>
      <c r="Q33" s="71" t="n">
        <f aca="false">MONTH(C33)</f>
        <v>2</v>
      </c>
      <c r="R33" s="72" t="str">
        <f aca="false">IF(D33&lt;=14,"1–14",IF(D33&lt;=24,"15–24",IF(D33&lt;=44,"25–44",IF(D33&lt;=64,"45–64","65+"))))</f>
        <v>65+</v>
      </c>
      <c r="S33" s="72" t="str">
        <f aca="false">IF(J33&lt;=30,"Up to 30",IF(J33&lt;=60,"31–60",IF(J33&lt;=90,"61–90","Over 90")))</f>
        <v>61–90</v>
      </c>
      <c r="T33" s="71" t="n">
        <f aca="false">IF(J33&gt;'Scenario Lab'!$C$5,1,0)</f>
        <v>1</v>
      </c>
      <c r="U33" s="71" t="n">
        <f aca="false">IF(M33="Yes",1,0)</f>
        <v>1</v>
      </c>
      <c r="V33" s="71" t="n">
        <f aca="false">IF(AND(M33="Yes",N33="Yes"),1,0)</f>
        <v>1</v>
      </c>
      <c r="W33" s="72" t="str">
        <f aca="false">IF(AND(G33="Maternal Health",E33="Male",D33&gt;=15),"Review","OK")</f>
        <v>OK</v>
      </c>
    </row>
    <row r="34" customFormat="false" ht="15" hidden="false" customHeight="false" outlineLevel="0" collapsed="false">
      <c r="A34" s="67" t="s">
        <v>233</v>
      </c>
      <c r="B34" s="67" t="s">
        <v>234</v>
      </c>
      <c r="C34" s="68" t="n">
        <v>46249</v>
      </c>
      <c r="D34" s="67" t="n">
        <v>62</v>
      </c>
      <c r="E34" s="67" t="s">
        <v>173</v>
      </c>
      <c r="F34" s="67" t="s">
        <v>59</v>
      </c>
      <c r="G34" s="67" t="s">
        <v>68</v>
      </c>
      <c r="H34" s="67" t="s">
        <v>58</v>
      </c>
      <c r="I34" s="67" t="s">
        <v>108</v>
      </c>
      <c r="J34" s="67" t="n">
        <v>93</v>
      </c>
      <c r="K34" s="69" t="n">
        <v>0</v>
      </c>
      <c r="L34" s="70" t="n">
        <v>209619</v>
      </c>
      <c r="M34" s="67" t="s">
        <v>165</v>
      </c>
      <c r="N34" s="67" t="s">
        <v>165</v>
      </c>
      <c r="O34" s="67" t="n">
        <v>4</v>
      </c>
      <c r="P34" s="67" t="s">
        <v>166</v>
      </c>
      <c r="Q34" s="71" t="n">
        <f aca="false">MONTH(C34)</f>
        <v>8</v>
      </c>
      <c r="R34" s="72" t="str">
        <f aca="false">IF(D34&lt;=14,"1–14",IF(D34&lt;=24,"15–24",IF(D34&lt;=44,"25–44",IF(D34&lt;=64,"45–64","65+"))))</f>
        <v>45–64</v>
      </c>
      <c r="S34" s="72" t="str">
        <f aca="false">IF(J34&lt;=30,"Up to 30",IF(J34&lt;=60,"31–60",IF(J34&lt;=90,"61–90","Over 90")))</f>
        <v>Over 90</v>
      </c>
      <c r="T34" s="71" t="n">
        <f aca="false">IF(J34&gt;'Scenario Lab'!$C$5,1,0)</f>
        <v>1</v>
      </c>
      <c r="U34" s="71" t="n">
        <f aca="false">IF(M34="Yes",1,0)</f>
        <v>1</v>
      </c>
      <c r="V34" s="71" t="n">
        <f aca="false">IF(AND(M34="Yes",N34="Yes"),1,0)</f>
        <v>1</v>
      </c>
      <c r="W34" s="72" t="str">
        <f aca="false">IF(AND(G34="Maternal Health",E34="Male",D34&gt;=15),"Review","OK")</f>
        <v>OK</v>
      </c>
    </row>
    <row r="35" customFormat="false" ht="15" hidden="false" customHeight="false" outlineLevel="0" collapsed="false">
      <c r="A35" s="67" t="s">
        <v>235</v>
      </c>
      <c r="B35" s="67" t="s">
        <v>236</v>
      </c>
      <c r="C35" s="68" t="n">
        <v>46289</v>
      </c>
      <c r="D35" s="67" t="n">
        <v>44</v>
      </c>
      <c r="E35" s="67" t="s">
        <v>173</v>
      </c>
      <c r="F35" s="67" t="s">
        <v>63</v>
      </c>
      <c r="G35" s="67" t="s">
        <v>62</v>
      </c>
      <c r="H35" s="67" t="s">
        <v>112</v>
      </c>
      <c r="I35" s="67" t="s">
        <v>108</v>
      </c>
      <c r="J35" s="67" t="n">
        <v>36</v>
      </c>
      <c r="K35" s="69" t="n">
        <v>0.8</v>
      </c>
      <c r="L35" s="70" t="n">
        <v>83330</v>
      </c>
      <c r="M35" s="67" t="s">
        <v>169</v>
      </c>
      <c r="N35" s="67" t="s">
        <v>170</v>
      </c>
      <c r="O35" s="67" t="n">
        <v>5</v>
      </c>
      <c r="P35" s="67" t="s">
        <v>112</v>
      </c>
      <c r="Q35" s="71" t="n">
        <f aca="false">MONTH(C35)</f>
        <v>9</v>
      </c>
      <c r="R35" s="72" t="str">
        <f aca="false">IF(D35&lt;=14,"1–14",IF(D35&lt;=24,"15–24",IF(D35&lt;=44,"25–44",IF(D35&lt;=64,"45–64","65+"))))</f>
        <v>25–44</v>
      </c>
      <c r="S35" s="72" t="str">
        <f aca="false">IF(J35&lt;=30,"Up to 30",IF(J35&lt;=60,"31–60",IF(J35&lt;=90,"61–90","Over 90")))</f>
        <v>31–60</v>
      </c>
      <c r="T35" s="71" t="n">
        <f aca="false">IF(J35&gt;'Scenario Lab'!$C$5,1,0)</f>
        <v>0</v>
      </c>
      <c r="U35" s="71" t="n">
        <f aca="false">IF(M35="Yes",1,0)</f>
        <v>0</v>
      </c>
      <c r="V35" s="71" t="n">
        <f aca="false">IF(AND(M35="Yes",N35="Yes"),1,0)</f>
        <v>0</v>
      </c>
      <c r="W35" s="72" t="str">
        <f aca="false">IF(AND(G35="Maternal Health",E35="Male",D35&gt;=15),"Review","OK")</f>
        <v>Review</v>
      </c>
    </row>
    <row r="36" customFormat="false" ht="15" hidden="false" customHeight="false" outlineLevel="0" collapsed="false">
      <c r="A36" s="67" t="s">
        <v>237</v>
      </c>
      <c r="B36" s="67" t="s">
        <v>238</v>
      </c>
      <c r="C36" s="68" t="n">
        <v>46192</v>
      </c>
      <c r="D36" s="67" t="n">
        <v>38</v>
      </c>
      <c r="E36" s="67" t="s">
        <v>164</v>
      </c>
      <c r="F36" s="67" t="s">
        <v>61</v>
      </c>
      <c r="G36" s="67" t="s">
        <v>58</v>
      </c>
      <c r="H36" s="67" t="s">
        <v>58</v>
      </c>
      <c r="I36" s="67" t="s">
        <v>108</v>
      </c>
      <c r="J36" s="67" t="n">
        <v>89</v>
      </c>
      <c r="K36" s="69" t="n">
        <v>0</v>
      </c>
      <c r="L36" s="70" t="n">
        <v>101355</v>
      </c>
      <c r="M36" s="67" t="s">
        <v>165</v>
      </c>
      <c r="N36" s="67" t="s">
        <v>165</v>
      </c>
      <c r="O36" s="67" t="n">
        <v>4</v>
      </c>
      <c r="P36" s="67" t="s">
        <v>166</v>
      </c>
      <c r="Q36" s="71" t="n">
        <f aca="false">MONTH(C36)</f>
        <v>6</v>
      </c>
      <c r="R36" s="72" t="str">
        <f aca="false">IF(D36&lt;=14,"1–14",IF(D36&lt;=24,"15–24",IF(D36&lt;=44,"25–44",IF(D36&lt;=64,"45–64","65+"))))</f>
        <v>25–44</v>
      </c>
      <c r="S36" s="72" t="str">
        <f aca="false">IF(J36&lt;=30,"Up to 30",IF(J36&lt;=60,"31–60",IF(J36&lt;=90,"61–90","Over 90")))</f>
        <v>61–90</v>
      </c>
      <c r="T36" s="71" t="n">
        <f aca="false">IF(J36&gt;'Scenario Lab'!$C$5,1,0)</f>
        <v>1</v>
      </c>
      <c r="U36" s="71" t="n">
        <f aca="false">IF(M36="Yes",1,0)</f>
        <v>1</v>
      </c>
      <c r="V36" s="71" t="n">
        <f aca="false">IF(AND(M36="Yes",N36="Yes"),1,0)</f>
        <v>1</v>
      </c>
      <c r="W36" s="72" t="str">
        <f aca="false">IF(AND(G36="Maternal Health",E36="Male",D36&gt;=15),"Review","OK")</f>
        <v>OK</v>
      </c>
    </row>
    <row r="37" customFormat="false" ht="15" hidden="false" customHeight="false" outlineLevel="0" collapsed="false">
      <c r="A37" s="67" t="s">
        <v>239</v>
      </c>
      <c r="B37" s="67" t="s">
        <v>240</v>
      </c>
      <c r="C37" s="68" t="n">
        <v>46222</v>
      </c>
      <c r="D37" s="67" t="n">
        <v>55</v>
      </c>
      <c r="E37" s="67" t="s">
        <v>173</v>
      </c>
      <c r="F37" s="67" t="s">
        <v>67</v>
      </c>
      <c r="G37" s="67" t="s">
        <v>58</v>
      </c>
      <c r="H37" s="67" t="s">
        <v>58</v>
      </c>
      <c r="I37" s="67" t="s">
        <v>107</v>
      </c>
      <c r="J37" s="67" t="n">
        <v>77</v>
      </c>
      <c r="K37" s="69" t="n">
        <v>3.4</v>
      </c>
      <c r="L37" s="70" t="n">
        <v>146458</v>
      </c>
      <c r="M37" s="67" t="s">
        <v>169</v>
      </c>
      <c r="N37" s="67" t="s">
        <v>170</v>
      </c>
      <c r="O37" s="67" t="n">
        <v>4</v>
      </c>
      <c r="P37" s="67" t="s">
        <v>166</v>
      </c>
      <c r="Q37" s="71" t="n">
        <f aca="false">MONTH(C37)</f>
        <v>7</v>
      </c>
      <c r="R37" s="72" t="str">
        <f aca="false">IF(D37&lt;=14,"1–14",IF(D37&lt;=24,"15–24",IF(D37&lt;=44,"25–44",IF(D37&lt;=64,"45–64","65+"))))</f>
        <v>45–64</v>
      </c>
      <c r="S37" s="72" t="str">
        <f aca="false">IF(J37&lt;=30,"Up to 30",IF(J37&lt;=60,"31–60",IF(J37&lt;=90,"61–90","Over 90")))</f>
        <v>61–90</v>
      </c>
      <c r="T37" s="71" t="n">
        <f aca="false">IF(J37&gt;'Scenario Lab'!$C$5,1,0)</f>
        <v>1</v>
      </c>
      <c r="U37" s="71" t="n">
        <f aca="false">IF(M37="Yes",1,0)</f>
        <v>0</v>
      </c>
      <c r="V37" s="71" t="n">
        <f aca="false">IF(AND(M37="Yes",N37="Yes"),1,0)</f>
        <v>0</v>
      </c>
      <c r="W37" s="72" t="str">
        <f aca="false">IF(AND(G37="Maternal Health",E37="Male",D37&gt;=15),"Review","OK")</f>
        <v>OK</v>
      </c>
    </row>
    <row r="38" customFormat="false" ht="15" hidden="false" customHeight="false" outlineLevel="0" collapsed="false">
      <c r="A38" s="67" t="s">
        <v>241</v>
      </c>
      <c r="B38" s="67" t="s">
        <v>242</v>
      </c>
      <c r="C38" s="68" t="n">
        <v>46088</v>
      </c>
      <c r="D38" s="67" t="n">
        <v>54</v>
      </c>
      <c r="E38" s="67" t="s">
        <v>164</v>
      </c>
      <c r="F38" s="67" t="s">
        <v>65</v>
      </c>
      <c r="G38" s="67" t="s">
        <v>64</v>
      </c>
      <c r="H38" s="67" t="s">
        <v>64</v>
      </c>
      <c r="I38" s="67" t="s">
        <v>105</v>
      </c>
      <c r="J38" s="67" t="n">
        <v>30</v>
      </c>
      <c r="K38" s="69" t="n">
        <v>0</v>
      </c>
      <c r="L38" s="70" t="n">
        <v>29019</v>
      </c>
      <c r="M38" s="67" t="s">
        <v>165</v>
      </c>
      <c r="N38" s="67" t="s">
        <v>165</v>
      </c>
      <c r="O38" s="67" t="n">
        <v>5</v>
      </c>
      <c r="P38" s="67" t="s">
        <v>166</v>
      </c>
      <c r="Q38" s="71" t="n">
        <f aca="false">MONTH(C38)</f>
        <v>3</v>
      </c>
      <c r="R38" s="72" t="str">
        <f aca="false">IF(D38&lt;=14,"1–14",IF(D38&lt;=24,"15–24",IF(D38&lt;=44,"25–44",IF(D38&lt;=64,"45–64","65+"))))</f>
        <v>45–64</v>
      </c>
      <c r="S38" s="72" t="str">
        <f aca="false">IF(J38&lt;=30,"Up to 30",IF(J38&lt;=60,"31–60",IF(J38&lt;=90,"61–90","Over 90")))</f>
        <v>Up to 30</v>
      </c>
      <c r="T38" s="71" t="n">
        <f aca="false">IF(J38&gt;'Scenario Lab'!$C$5,1,0)</f>
        <v>0</v>
      </c>
      <c r="U38" s="71" t="n">
        <f aca="false">IF(M38="Yes",1,0)</f>
        <v>1</v>
      </c>
      <c r="V38" s="71" t="n">
        <f aca="false">IF(AND(M38="Yes",N38="Yes"),1,0)</f>
        <v>1</v>
      </c>
      <c r="W38" s="72" t="str">
        <f aca="false">IF(AND(G38="Maternal Health",E38="Male",D38&gt;=15),"Review","OK")</f>
        <v>OK</v>
      </c>
    </row>
    <row r="39" customFormat="false" ht="15" hidden="false" customHeight="false" outlineLevel="0" collapsed="false">
      <c r="A39" s="67" t="s">
        <v>243</v>
      </c>
      <c r="B39" s="67" t="s">
        <v>244</v>
      </c>
      <c r="C39" s="68" t="n">
        <v>46217</v>
      </c>
      <c r="D39" s="67" t="n">
        <v>1</v>
      </c>
      <c r="E39" s="67" t="s">
        <v>164</v>
      </c>
      <c r="F39" s="67" t="s">
        <v>59</v>
      </c>
      <c r="G39" s="67" t="s">
        <v>64</v>
      </c>
      <c r="H39" s="67" t="s">
        <v>112</v>
      </c>
      <c r="I39" s="67" t="s">
        <v>107</v>
      </c>
      <c r="J39" s="67" t="n">
        <v>27</v>
      </c>
      <c r="K39" s="69" t="n">
        <v>0.7</v>
      </c>
      <c r="L39" s="70" t="n">
        <v>48270</v>
      </c>
      <c r="M39" s="67" t="s">
        <v>165</v>
      </c>
      <c r="N39" s="67" t="s">
        <v>165</v>
      </c>
      <c r="O39" s="67" t="n">
        <v>5</v>
      </c>
      <c r="P39" s="67" t="s">
        <v>112</v>
      </c>
      <c r="Q39" s="71" t="n">
        <f aca="false">MONTH(C39)</f>
        <v>7</v>
      </c>
      <c r="R39" s="72" t="str">
        <f aca="false">IF(D39&lt;=14,"1–14",IF(D39&lt;=24,"15–24",IF(D39&lt;=44,"25–44",IF(D39&lt;=64,"45–64","65+"))))</f>
        <v>1–14</v>
      </c>
      <c r="S39" s="72" t="str">
        <f aca="false">IF(J39&lt;=30,"Up to 30",IF(J39&lt;=60,"31–60",IF(J39&lt;=90,"61–90","Over 90")))</f>
        <v>Up to 30</v>
      </c>
      <c r="T39" s="71" t="n">
        <f aca="false">IF(J39&gt;'Scenario Lab'!$C$5,1,0)</f>
        <v>0</v>
      </c>
      <c r="U39" s="71" t="n">
        <f aca="false">IF(M39="Yes",1,0)</f>
        <v>1</v>
      </c>
      <c r="V39" s="71" t="n">
        <f aca="false">IF(AND(M39="Yes",N39="Yes"),1,0)</f>
        <v>1</v>
      </c>
      <c r="W39" s="72" t="str">
        <f aca="false">IF(AND(G39="Maternal Health",E39="Male",D39&gt;=15),"Review","OK")</f>
        <v>OK</v>
      </c>
    </row>
    <row r="40" customFormat="false" ht="15" hidden="false" customHeight="false" outlineLevel="0" collapsed="false">
      <c r="A40" s="67" t="s">
        <v>245</v>
      </c>
      <c r="B40" s="67" t="s">
        <v>246</v>
      </c>
      <c r="C40" s="68" t="n">
        <v>46038</v>
      </c>
      <c r="D40" s="67" t="n">
        <v>14</v>
      </c>
      <c r="E40" s="67" t="s">
        <v>164</v>
      </c>
      <c r="F40" s="67" t="s">
        <v>65</v>
      </c>
      <c r="G40" s="67" t="s">
        <v>66</v>
      </c>
      <c r="H40" s="67" t="s">
        <v>64</v>
      </c>
      <c r="I40" s="67" t="s">
        <v>109</v>
      </c>
      <c r="J40" s="67" t="n">
        <v>36</v>
      </c>
      <c r="K40" s="69" t="n">
        <v>16.3</v>
      </c>
      <c r="L40" s="70" t="n">
        <v>205281</v>
      </c>
      <c r="M40" s="67" t="s">
        <v>169</v>
      </c>
      <c r="N40" s="67" t="s">
        <v>170</v>
      </c>
      <c r="O40" s="67" t="n">
        <v>5</v>
      </c>
      <c r="P40" s="67" t="s">
        <v>112</v>
      </c>
      <c r="Q40" s="71" t="n">
        <f aca="false">MONTH(C40)</f>
        <v>1</v>
      </c>
      <c r="R40" s="72" t="str">
        <f aca="false">IF(D40&lt;=14,"1–14",IF(D40&lt;=24,"15–24",IF(D40&lt;=44,"25–44",IF(D40&lt;=64,"45–64","65+"))))</f>
        <v>1–14</v>
      </c>
      <c r="S40" s="72" t="str">
        <f aca="false">IF(J40&lt;=30,"Up to 30",IF(J40&lt;=60,"31–60",IF(J40&lt;=90,"61–90","Over 90")))</f>
        <v>31–60</v>
      </c>
      <c r="T40" s="71" t="n">
        <f aca="false">IF(J40&gt;'Scenario Lab'!$C$5,1,0)</f>
        <v>0</v>
      </c>
      <c r="U40" s="71" t="n">
        <f aca="false">IF(M40="Yes",1,0)</f>
        <v>0</v>
      </c>
      <c r="V40" s="71" t="n">
        <f aca="false">IF(AND(M40="Yes",N40="Yes"),1,0)</f>
        <v>0</v>
      </c>
      <c r="W40" s="72" t="str">
        <f aca="false">IF(AND(G40="Maternal Health",E40="Male",D40&gt;=15),"Review","OK")</f>
        <v>OK</v>
      </c>
    </row>
    <row r="41" customFormat="false" ht="15" hidden="false" customHeight="false" outlineLevel="0" collapsed="false">
      <c r="A41" s="67" t="s">
        <v>247</v>
      </c>
      <c r="B41" s="67" t="s">
        <v>248</v>
      </c>
      <c r="C41" s="68" t="n">
        <v>46081</v>
      </c>
      <c r="D41" s="67" t="n">
        <v>37</v>
      </c>
      <c r="E41" s="67" t="s">
        <v>164</v>
      </c>
      <c r="F41" s="67" t="s">
        <v>63</v>
      </c>
      <c r="G41" s="67" t="s">
        <v>64</v>
      </c>
      <c r="H41" s="67" t="s">
        <v>64</v>
      </c>
      <c r="I41" s="67" t="s">
        <v>104</v>
      </c>
      <c r="J41" s="67" t="n">
        <v>38</v>
      </c>
      <c r="K41" s="69" t="n">
        <v>1.1</v>
      </c>
      <c r="L41" s="70" t="n">
        <v>47012</v>
      </c>
      <c r="M41" s="67" t="s">
        <v>169</v>
      </c>
      <c r="N41" s="67" t="s">
        <v>170</v>
      </c>
      <c r="O41" s="67" t="n">
        <v>5</v>
      </c>
      <c r="P41" s="67" t="s">
        <v>166</v>
      </c>
      <c r="Q41" s="71" t="n">
        <f aca="false">MONTH(C41)</f>
        <v>2</v>
      </c>
      <c r="R41" s="72" t="str">
        <f aca="false">IF(D41&lt;=14,"1–14",IF(D41&lt;=24,"15–24",IF(D41&lt;=44,"25–44",IF(D41&lt;=64,"45–64","65+"))))</f>
        <v>25–44</v>
      </c>
      <c r="S41" s="72" t="str">
        <f aca="false">IF(J41&lt;=30,"Up to 30",IF(J41&lt;=60,"31–60",IF(J41&lt;=90,"61–90","Over 90")))</f>
        <v>31–60</v>
      </c>
      <c r="T41" s="71" t="n">
        <f aca="false">IF(J41&gt;'Scenario Lab'!$C$5,1,0)</f>
        <v>0</v>
      </c>
      <c r="U41" s="71" t="n">
        <f aca="false">IF(M41="Yes",1,0)</f>
        <v>0</v>
      </c>
      <c r="V41" s="71" t="n">
        <f aca="false">IF(AND(M41="Yes",N41="Yes"),1,0)</f>
        <v>0</v>
      </c>
      <c r="W41" s="72" t="str">
        <f aca="false">IF(AND(G41="Maternal Health",E41="Male",D41&gt;=15),"Review","OK")</f>
        <v>OK</v>
      </c>
    </row>
    <row r="42" customFormat="false" ht="15" hidden="false" customHeight="false" outlineLevel="0" collapsed="false">
      <c r="A42" s="67" t="s">
        <v>249</v>
      </c>
      <c r="B42" s="67" t="s">
        <v>250</v>
      </c>
      <c r="C42" s="68" t="n">
        <v>46147</v>
      </c>
      <c r="D42" s="67" t="n">
        <v>55</v>
      </c>
      <c r="E42" s="67" t="s">
        <v>164</v>
      </c>
      <c r="F42" s="67" t="s">
        <v>61</v>
      </c>
      <c r="G42" s="67" t="s">
        <v>68</v>
      </c>
      <c r="H42" s="67" t="s">
        <v>58</v>
      </c>
      <c r="I42" s="67" t="s">
        <v>108</v>
      </c>
      <c r="J42" s="67" t="n">
        <v>76</v>
      </c>
      <c r="K42" s="69" t="n">
        <v>0.4</v>
      </c>
      <c r="L42" s="70" t="n">
        <v>222570</v>
      </c>
      <c r="M42" s="67" t="s">
        <v>169</v>
      </c>
      <c r="N42" s="67" t="s">
        <v>170</v>
      </c>
      <c r="O42" s="67" t="n">
        <v>4</v>
      </c>
      <c r="P42" s="67" t="s">
        <v>180</v>
      </c>
      <c r="Q42" s="71" t="n">
        <f aca="false">MONTH(C42)</f>
        <v>5</v>
      </c>
      <c r="R42" s="72" t="str">
        <f aca="false">IF(D42&lt;=14,"1–14",IF(D42&lt;=24,"15–24",IF(D42&lt;=44,"25–44",IF(D42&lt;=64,"45–64","65+"))))</f>
        <v>45–64</v>
      </c>
      <c r="S42" s="72" t="str">
        <f aca="false">IF(J42&lt;=30,"Up to 30",IF(J42&lt;=60,"31–60",IF(J42&lt;=90,"61–90","Over 90")))</f>
        <v>61–90</v>
      </c>
      <c r="T42" s="71" t="n">
        <f aca="false">IF(J42&gt;'Scenario Lab'!$C$5,1,0)</f>
        <v>1</v>
      </c>
      <c r="U42" s="71" t="n">
        <f aca="false">IF(M42="Yes",1,0)</f>
        <v>0</v>
      </c>
      <c r="V42" s="71" t="n">
        <f aca="false">IF(AND(M42="Yes",N42="Yes"),1,0)</f>
        <v>0</v>
      </c>
      <c r="W42" s="72" t="str">
        <f aca="false">IF(AND(G42="Maternal Health",E42="Male",D42&gt;=15),"Review","OK")</f>
        <v>OK</v>
      </c>
    </row>
    <row r="43" customFormat="false" ht="15" hidden="false" customHeight="false" outlineLevel="0" collapsed="false">
      <c r="A43" s="67" t="s">
        <v>251</v>
      </c>
      <c r="B43" s="67" t="s">
        <v>252</v>
      </c>
      <c r="C43" s="68" t="n">
        <v>46077</v>
      </c>
      <c r="D43" s="67" t="n">
        <v>41</v>
      </c>
      <c r="E43" s="67" t="s">
        <v>164</v>
      </c>
      <c r="F43" s="67" t="s">
        <v>67</v>
      </c>
      <c r="G43" s="67" t="s">
        <v>60</v>
      </c>
      <c r="H43" s="67" t="s">
        <v>112</v>
      </c>
      <c r="I43" s="67" t="s">
        <v>109</v>
      </c>
      <c r="J43" s="67" t="n">
        <v>17</v>
      </c>
      <c r="K43" s="69" t="n">
        <v>0.6</v>
      </c>
      <c r="L43" s="70" t="n">
        <v>53375</v>
      </c>
      <c r="M43" s="67" t="s">
        <v>165</v>
      </c>
      <c r="N43" s="67" t="s">
        <v>169</v>
      </c>
      <c r="O43" s="67" t="n">
        <v>5</v>
      </c>
      <c r="P43" s="67" t="s">
        <v>180</v>
      </c>
      <c r="Q43" s="71" t="n">
        <f aca="false">MONTH(C43)</f>
        <v>2</v>
      </c>
      <c r="R43" s="72" t="str">
        <f aca="false">IF(D43&lt;=14,"1–14",IF(D43&lt;=24,"15–24",IF(D43&lt;=44,"25–44",IF(D43&lt;=64,"45–64","65+"))))</f>
        <v>25–44</v>
      </c>
      <c r="S43" s="72" t="str">
        <f aca="false">IF(J43&lt;=30,"Up to 30",IF(J43&lt;=60,"31–60",IF(J43&lt;=90,"61–90","Over 90")))</f>
        <v>Up to 30</v>
      </c>
      <c r="T43" s="71" t="n">
        <f aca="false">IF(J43&gt;'Scenario Lab'!$C$5,1,0)</f>
        <v>0</v>
      </c>
      <c r="U43" s="71" t="n">
        <f aca="false">IF(M43="Yes",1,0)</f>
        <v>1</v>
      </c>
      <c r="V43" s="71" t="n">
        <f aca="false">IF(AND(M43="Yes",N43="Yes"),1,0)</f>
        <v>0</v>
      </c>
      <c r="W43" s="72" t="str">
        <f aca="false">IF(AND(G43="Maternal Health",E43="Male",D43&gt;=15),"Review","OK")</f>
        <v>OK</v>
      </c>
    </row>
    <row r="44" customFormat="false" ht="15" hidden="false" customHeight="false" outlineLevel="0" collapsed="false">
      <c r="A44" s="67" t="s">
        <v>253</v>
      </c>
      <c r="B44" s="67" t="s">
        <v>254</v>
      </c>
      <c r="C44" s="68" t="n">
        <v>46160</v>
      </c>
      <c r="D44" s="67" t="n">
        <v>60</v>
      </c>
      <c r="E44" s="67" t="s">
        <v>164</v>
      </c>
      <c r="F44" s="67" t="s">
        <v>65</v>
      </c>
      <c r="G44" s="67" t="s">
        <v>58</v>
      </c>
      <c r="H44" s="67" t="s">
        <v>58</v>
      </c>
      <c r="I44" s="67" t="s">
        <v>105</v>
      </c>
      <c r="J44" s="67" t="n">
        <v>97</v>
      </c>
      <c r="K44" s="69" t="n">
        <v>1.5</v>
      </c>
      <c r="L44" s="70" t="n">
        <v>90569</v>
      </c>
      <c r="M44" s="67" t="s">
        <v>169</v>
      </c>
      <c r="N44" s="67" t="s">
        <v>170</v>
      </c>
      <c r="O44" s="67" t="n">
        <v>3</v>
      </c>
      <c r="P44" s="67" t="s">
        <v>166</v>
      </c>
      <c r="Q44" s="71" t="n">
        <f aca="false">MONTH(C44)</f>
        <v>5</v>
      </c>
      <c r="R44" s="72" t="str">
        <f aca="false">IF(D44&lt;=14,"1–14",IF(D44&lt;=24,"15–24",IF(D44&lt;=44,"25–44",IF(D44&lt;=64,"45–64","65+"))))</f>
        <v>45–64</v>
      </c>
      <c r="S44" s="72" t="str">
        <f aca="false">IF(J44&lt;=30,"Up to 30",IF(J44&lt;=60,"31–60",IF(J44&lt;=90,"61–90","Over 90")))</f>
        <v>Over 90</v>
      </c>
      <c r="T44" s="71" t="n">
        <f aca="false">IF(J44&gt;'Scenario Lab'!$C$5,1,0)</f>
        <v>1</v>
      </c>
      <c r="U44" s="71" t="n">
        <f aca="false">IF(M44="Yes",1,0)</f>
        <v>0</v>
      </c>
      <c r="V44" s="71" t="n">
        <f aca="false">IF(AND(M44="Yes",N44="Yes"),1,0)</f>
        <v>0</v>
      </c>
      <c r="W44" s="72" t="str">
        <f aca="false">IF(AND(G44="Maternal Health",E44="Male",D44&gt;=15),"Review","OK")</f>
        <v>OK</v>
      </c>
    </row>
    <row r="45" customFormat="false" ht="15" hidden="false" customHeight="false" outlineLevel="0" collapsed="false">
      <c r="A45" s="67" t="s">
        <v>255</v>
      </c>
      <c r="B45" s="67" t="s">
        <v>256</v>
      </c>
      <c r="C45" s="68" t="n">
        <v>46155</v>
      </c>
      <c r="D45" s="67" t="n">
        <v>5</v>
      </c>
      <c r="E45" s="67" t="s">
        <v>173</v>
      </c>
      <c r="F45" s="67" t="s">
        <v>63</v>
      </c>
      <c r="G45" s="67" t="s">
        <v>66</v>
      </c>
      <c r="H45" s="67" t="s">
        <v>112</v>
      </c>
      <c r="I45" s="67" t="s">
        <v>109</v>
      </c>
      <c r="J45" s="67" t="n">
        <v>79</v>
      </c>
      <c r="K45" s="69" t="n">
        <v>1.6</v>
      </c>
      <c r="L45" s="70" t="n">
        <v>53226</v>
      </c>
      <c r="M45" s="67" t="s">
        <v>165</v>
      </c>
      <c r="N45" s="67" t="s">
        <v>165</v>
      </c>
      <c r="O45" s="67" t="n">
        <v>4</v>
      </c>
      <c r="P45" s="67" t="s">
        <v>166</v>
      </c>
      <c r="Q45" s="71" t="n">
        <f aca="false">MONTH(C45)</f>
        <v>5</v>
      </c>
      <c r="R45" s="72" t="str">
        <f aca="false">IF(D45&lt;=14,"1–14",IF(D45&lt;=24,"15–24",IF(D45&lt;=44,"25–44",IF(D45&lt;=64,"45–64","65+"))))</f>
        <v>1–14</v>
      </c>
      <c r="S45" s="72" t="str">
        <f aca="false">IF(J45&lt;=30,"Up to 30",IF(J45&lt;=60,"31–60",IF(J45&lt;=90,"61–90","Over 90")))</f>
        <v>61–90</v>
      </c>
      <c r="T45" s="71" t="n">
        <f aca="false">IF(J45&gt;'Scenario Lab'!$C$5,1,0)</f>
        <v>1</v>
      </c>
      <c r="U45" s="71" t="n">
        <f aca="false">IF(M45="Yes",1,0)</f>
        <v>1</v>
      </c>
      <c r="V45" s="71" t="n">
        <f aca="false">IF(AND(M45="Yes",N45="Yes"),1,0)</f>
        <v>1</v>
      </c>
      <c r="W45" s="72" t="str">
        <f aca="false">IF(AND(G45="Maternal Health",E45="Male",D45&gt;=15),"Review","OK")</f>
        <v>OK</v>
      </c>
    </row>
    <row r="46" customFormat="false" ht="15" hidden="false" customHeight="false" outlineLevel="0" collapsed="false">
      <c r="A46" s="67" t="s">
        <v>257</v>
      </c>
      <c r="B46" s="67" t="s">
        <v>258</v>
      </c>
      <c r="C46" s="68" t="n">
        <v>46274</v>
      </c>
      <c r="D46" s="67" t="n">
        <v>5</v>
      </c>
      <c r="E46" s="67" t="s">
        <v>164</v>
      </c>
      <c r="F46" s="67" t="s">
        <v>67</v>
      </c>
      <c r="G46" s="67" t="s">
        <v>66</v>
      </c>
      <c r="H46" s="67" t="s">
        <v>113</v>
      </c>
      <c r="I46" s="67" t="s">
        <v>107</v>
      </c>
      <c r="J46" s="67" t="n">
        <v>25</v>
      </c>
      <c r="K46" s="69" t="n">
        <v>1.9</v>
      </c>
      <c r="L46" s="70" t="n">
        <v>46421</v>
      </c>
      <c r="M46" s="67" t="s">
        <v>169</v>
      </c>
      <c r="N46" s="67" t="s">
        <v>170</v>
      </c>
      <c r="O46" s="67" t="n">
        <v>5</v>
      </c>
      <c r="P46" s="67" t="s">
        <v>112</v>
      </c>
      <c r="Q46" s="71" t="n">
        <f aca="false">MONTH(C46)</f>
        <v>9</v>
      </c>
      <c r="R46" s="72" t="str">
        <f aca="false">IF(D46&lt;=14,"1–14",IF(D46&lt;=24,"15–24",IF(D46&lt;=44,"25–44",IF(D46&lt;=64,"45–64","65+"))))</f>
        <v>1–14</v>
      </c>
      <c r="S46" s="72" t="str">
        <f aca="false">IF(J46&lt;=30,"Up to 30",IF(J46&lt;=60,"31–60",IF(J46&lt;=90,"61–90","Over 90")))</f>
        <v>Up to 30</v>
      </c>
      <c r="T46" s="71" t="n">
        <f aca="false">IF(J46&gt;'Scenario Lab'!$C$5,1,0)</f>
        <v>0</v>
      </c>
      <c r="U46" s="71" t="n">
        <f aca="false">IF(M46="Yes",1,0)</f>
        <v>0</v>
      </c>
      <c r="V46" s="71" t="n">
        <f aca="false">IF(AND(M46="Yes",N46="Yes"),1,0)</f>
        <v>0</v>
      </c>
      <c r="W46" s="72" t="str">
        <f aca="false">IF(AND(G46="Maternal Health",E46="Male",D46&gt;=15),"Review","OK")</f>
        <v>OK</v>
      </c>
    </row>
    <row r="47" customFormat="false" ht="15" hidden="false" customHeight="false" outlineLevel="0" collapsed="false">
      <c r="A47" s="67" t="s">
        <v>259</v>
      </c>
      <c r="B47" s="67" t="s">
        <v>260</v>
      </c>
      <c r="C47" s="68" t="n">
        <v>46179</v>
      </c>
      <c r="D47" s="67" t="n">
        <v>53</v>
      </c>
      <c r="E47" s="67" t="s">
        <v>164</v>
      </c>
      <c r="F47" s="67" t="s">
        <v>61</v>
      </c>
      <c r="G47" s="67" t="s">
        <v>58</v>
      </c>
      <c r="H47" s="67" t="s">
        <v>58</v>
      </c>
      <c r="I47" s="67" t="s">
        <v>109</v>
      </c>
      <c r="J47" s="67" t="n">
        <v>73</v>
      </c>
      <c r="K47" s="69" t="n">
        <v>1.1</v>
      </c>
      <c r="L47" s="70" t="n">
        <v>77628</v>
      </c>
      <c r="M47" s="67" t="s">
        <v>165</v>
      </c>
      <c r="N47" s="67" t="s">
        <v>165</v>
      </c>
      <c r="O47" s="67" t="n">
        <v>5</v>
      </c>
      <c r="P47" s="67" t="s">
        <v>166</v>
      </c>
      <c r="Q47" s="71" t="n">
        <f aca="false">MONTH(C47)</f>
        <v>6</v>
      </c>
      <c r="R47" s="72" t="str">
        <f aca="false">IF(D47&lt;=14,"1–14",IF(D47&lt;=24,"15–24",IF(D47&lt;=44,"25–44",IF(D47&lt;=64,"45–64","65+"))))</f>
        <v>45–64</v>
      </c>
      <c r="S47" s="72" t="str">
        <f aca="false">IF(J47&lt;=30,"Up to 30",IF(J47&lt;=60,"31–60",IF(J47&lt;=90,"61–90","Over 90")))</f>
        <v>61–90</v>
      </c>
      <c r="T47" s="71" t="n">
        <f aca="false">IF(J47&gt;'Scenario Lab'!$C$5,1,0)</f>
        <v>1</v>
      </c>
      <c r="U47" s="71" t="n">
        <f aca="false">IF(M47="Yes",1,0)</f>
        <v>1</v>
      </c>
      <c r="V47" s="71" t="n">
        <f aca="false">IF(AND(M47="Yes",N47="Yes"),1,0)</f>
        <v>1</v>
      </c>
      <c r="W47" s="72" t="str">
        <f aca="false">IF(AND(G47="Maternal Health",E47="Male",D47&gt;=15),"Review","OK")</f>
        <v>OK</v>
      </c>
    </row>
    <row r="48" customFormat="false" ht="15" hidden="false" customHeight="false" outlineLevel="0" collapsed="false">
      <c r="A48" s="67" t="s">
        <v>261</v>
      </c>
      <c r="B48" s="67" t="s">
        <v>262</v>
      </c>
      <c r="C48" s="68" t="n">
        <v>46167</v>
      </c>
      <c r="D48" s="67" t="n">
        <v>45</v>
      </c>
      <c r="E48" s="67" t="s">
        <v>164</v>
      </c>
      <c r="F48" s="67" t="s">
        <v>67</v>
      </c>
      <c r="G48" s="67" t="s">
        <v>60</v>
      </c>
      <c r="H48" s="67" t="s">
        <v>113</v>
      </c>
      <c r="I48" s="67" t="s">
        <v>104</v>
      </c>
      <c r="J48" s="67" t="n">
        <v>55</v>
      </c>
      <c r="K48" s="69" t="n">
        <v>0</v>
      </c>
      <c r="L48" s="70" t="n">
        <v>54303</v>
      </c>
      <c r="M48" s="67" t="s">
        <v>169</v>
      </c>
      <c r="N48" s="67" t="s">
        <v>170</v>
      </c>
      <c r="O48" s="67" t="n">
        <v>4</v>
      </c>
      <c r="P48" s="67" t="s">
        <v>112</v>
      </c>
      <c r="Q48" s="71" t="n">
        <f aca="false">MONTH(C48)</f>
        <v>5</v>
      </c>
      <c r="R48" s="72" t="str">
        <f aca="false">IF(D48&lt;=14,"1–14",IF(D48&lt;=24,"15–24",IF(D48&lt;=44,"25–44",IF(D48&lt;=64,"45–64","65+"))))</f>
        <v>45–64</v>
      </c>
      <c r="S48" s="72" t="str">
        <f aca="false">IF(J48&lt;=30,"Up to 30",IF(J48&lt;=60,"31–60",IF(J48&lt;=90,"61–90","Over 90")))</f>
        <v>31–60</v>
      </c>
      <c r="T48" s="71" t="n">
        <f aca="false">IF(J48&gt;'Scenario Lab'!$C$5,1,0)</f>
        <v>0</v>
      </c>
      <c r="U48" s="71" t="n">
        <f aca="false">IF(M48="Yes",1,0)</f>
        <v>0</v>
      </c>
      <c r="V48" s="71" t="n">
        <f aca="false">IF(AND(M48="Yes",N48="Yes"),1,0)</f>
        <v>0</v>
      </c>
      <c r="W48" s="72" t="str">
        <f aca="false">IF(AND(G48="Maternal Health",E48="Male",D48&gt;=15),"Review","OK")</f>
        <v>OK</v>
      </c>
    </row>
    <row r="49" customFormat="false" ht="15" hidden="false" customHeight="false" outlineLevel="0" collapsed="false">
      <c r="A49" s="67" t="s">
        <v>263</v>
      </c>
      <c r="B49" s="67" t="s">
        <v>264</v>
      </c>
      <c r="C49" s="68" t="n">
        <v>46274</v>
      </c>
      <c r="D49" s="67" t="n">
        <v>43</v>
      </c>
      <c r="E49" s="67" t="s">
        <v>173</v>
      </c>
      <c r="F49" s="67" t="s">
        <v>63</v>
      </c>
      <c r="G49" s="67" t="s">
        <v>64</v>
      </c>
      <c r="H49" s="67" t="s">
        <v>64</v>
      </c>
      <c r="I49" s="67" t="s">
        <v>104</v>
      </c>
      <c r="J49" s="67" t="n">
        <v>23</v>
      </c>
      <c r="K49" s="69" t="n">
        <v>0</v>
      </c>
      <c r="L49" s="70" t="n">
        <v>37473</v>
      </c>
      <c r="M49" s="67" t="s">
        <v>165</v>
      </c>
      <c r="N49" s="67" t="s">
        <v>169</v>
      </c>
      <c r="O49" s="67" t="n">
        <v>5</v>
      </c>
      <c r="P49" s="67" t="s">
        <v>112</v>
      </c>
      <c r="Q49" s="71" t="n">
        <f aca="false">MONTH(C49)</f>
        <v>9</v>
      </c>
      <c r="R49" s="72" t="str">
        <f aca="false">IF(D49&lt;=14,"1–14",IF(D49&lt;=24,"15–24",IF(D49&lt;=44,"25–44",IF(D49&lt;=64,"45–64","65+"))))</f>
        <v>25–44</v>
      </c>
      <c r="S49" s="72" t="str">
        <f aca="false">IF(J49&lt;=30,"Up to 30",IF(J49&lt;=60,"31–60",IF(J49&lt;=90,"61–90","Over 90")))</f>
        <v>Up to 30</v>
      </c>
      <c r="T49" s="71" t="n">
        <f aca="false">IF(J49&gt;'Scenario Lab'!$C$5,1,0)</f>
        <v>0</v>
      </c>
      <c r="U49" s="71" t="n">
        <f aca="false">IF(M49="Yes",1,0)</f>
        <v>1</v>
      </c>
      <c r="V49" s="71" t="n">
        <f aca="false">IF(AND(M49="Yes",N49="Yes"),1,0)</f>
        <v>0</v>
      </c>
      <c r="W49" s="72" t="str">
        <f aca="false">IF(AND(G49="Maternal Health",E49="Male",D49&gt;=15),"Review","OK")</f>
        <v>OK</v>
      </c>
    </row>
    <row r="50" customFormat="false" ht="15" hidden="false" customHeight="false" outlineLevel="0" collapsed="false">
      <c r="A50" s="67" t="s">
        <v>265</v>
      </c>
      <c r="B50" s="67" t="s">
        <v>266</v>
      </c>
      <c r="C50" s="68" t="n">
        <v>46050</v>
      </c>
      <c r="D50" s="67" t="n">
        <v>51</v>
      </c>
      <c r="E50" s="67" t="s">
        <v>173</v>
      </c>
      <c r="F50" s="67" t="s">
        <v>65</v>
      </c>
      <c r="G50" s="67" t="s">
        <v>60</v>
      </c>
      <c r="H50" s="67" t="s">
        <v>64</v>
      </c>
      <c r="I50" s="67" t="s">
        <v>108</v>
      </c>
      <c r="J50" s="67" t="n">
        <v>49</v>
      </c>
      <c r="K50" s="69" t="n">
        <v>0.1</v>
      </c>
      <c r="L50" s="70" t="n">
        <v>60220</v>
      </c>
      <c r="M50" s="67" t="s">
        <v>165</v>
      </c>
      <c r="N50" s="67" t="s">
        <v>165</v>
      </c>
      <c r="O50" s="67" t="n">
        <v>4</v>
      </c>
      <c r="P50" s="67" t="s">
        <v>112</v>
      </c>
      <c r="Q50" s="71" t="n">
        <f aca="false">MONTH(C50)</f>
        <v>1</v>
      </c>
      <c r="R50" s="72" t="str">
        <f aca="false">IF(D50&lt;=14,"1–14",IF(D50&lt;=24,"15–24",IF(D50&lt;=44,"25–44",IF(D50&lt;=64,"45–64","65+"))))</f>
        <v>45–64</v>
      </c>
      <c r="S50" s="72" t="str">
        <f aca="false">IF(J50&lt;=30,"Up to 30",IF(J50&lt;=60,"31–60",IF(J50&lt;=90,"61–90","Over 90")))</f>
        <v>31–60</v>
      </c>
      <c r="T50" s="71" t="n">
        <f aca="false">IF(J50&gt;'Scenario Lab'!$C$5,1,0)</f>
        <v>0</v>
      </c>
      <c r="U50" s="71" t="n">
        <f aca="false">IF(M50="Yes",1,0)</f>
        <v>1</v>
      </c>
      <c r="V50" s="71" t="n">
        <f aca="false">IF(AND(M50="Yes",N50="Yes"),1,0)</f>
        <v>1</v>
      </c>
      <c r="W50" s="72" t="str">
        <f aca="false">IF(AND(G50="Maternal Health",E50="Male",D50&gt;=15),"Review","OK")</f>
        <v>OK</v>
      </c>
    </row>
    <row r="51" customFormat="false" ht="15" hidden="false" customHeight="false" outlineLevel="0" collapsed="false">
      <c r="A51" s="67" t="s">
        <v>267</v>
      </c>
      <c r="B51" s="67" t="s">
        <v>268</v>
      </c>
      <c r="C51" s="68" t="n">
        <v>46242</v>
      </c>
      <c r="D51" s="67" t="n">
        <v>53</v>
      </c>
      <c r="E51" s="67" t="s">
        <v>164</v>
      </c>
      <c r="F51" s="67" t="s">
        <v>63</v>
      </c>
      <c r="G51" s="67" t="s">
        <v>60</v>
      </c>
      <c r="H51" s="67" t="s">
        <v>64</v>
      </c>
      <c r="I51" s="67" t="s">
        <v>104</v>
      </c>
      <c r="J51" s="67" t="n">
        <v>11</v>
      </c>
      <c r="K51" s="69" t="n">
        <v>1.3</v>
      </c>
      <c r="L51" s="70" t="n">
        <v>75066</v>
      </c>
      <c r="M51" s="67" t="s">
        <v>165</v>
      </c>
      <c r="N51" s="67" t="s">
        <v>165</v>
      </c>
      <c r="O51" s="67" t="n">
        <v>5</v>
      </c>
      <c r="P51" s="67" t="s">
        <v>166</v>
      </c>
      <c r="Q51" s="71" t="n">
        <f aca="false">MONTH(C51)</f>
        <v>8</v>
      </c>
      <c r="R51" s="72" t="str">
        <f aca="false">IF(D51&lt;=14,"1–14",IF(D51&lt;=24,"15–24",IF(D51&lt;=44,"25–44",IF(D51&lt;=64,"45–64","65+"))))</f>
        <v>45–64</v>
      </c>
      <c r="S51" s="72" t="str">
        <f aca="false">IF(J51&lt;=30,"Up to 30",IF(J51&lt;=60,"31–60",IF(J51&lt;=90,"61–90","Over 90")))</f>
        <v>Up to 30</v>
      </c>
      <c r="T51" s="71" t="n">
        <f aca="false">IF(J51&gt;'Scenario Lab'!$C$5,1,0)</f>
        <v>0</v>
      </c>
      <c r="U51" s="71" t="n">
        <f aca="false">IF(M51="Yes",1,0)</f>
        <v>1</v>
      </c>
      <c r="V51" s="71" t="n">
        <f aca="false">IF(AND(M51="Yes",N51="Yes"),1,0)</f>
        <v>1</v>
      </c>
      <c r="W51" s="72" t="str">
        <f aca="false">IF(AND(G51="Maternal Health",E51="Male",D51&gt;=15),"Review","OK")</f>
        <v>OK</v>
      </c>
    </row>
    <row r="52" customFormat="false" ht="15" hidden="false" customHeight="false" outlineLevel="0" collapsed="false">
      <c r="A52" s="67" t="s">
        <v>269</v>
      </c>
      <c r="B52" s="67" t="s">
        <v>270</v>
      </c>
      <c r="C52" s="68" t="n">
        <v>46263</v>
      </c>
      <c r="D52" s="67" t="n">
        <v>12</v>
      </c>
      <c r="E52" s="67" t="s">
        <v>164</v>
      </c>
      <c r="F52" s="67" t="s">
        <v>63</v>
      </c>
      <c r="G52" s="67" t="s">
        <v>66</v>
      </c>
      <c r="H52" s="67" t="s">
        <v>112</v>
      </c>
      <c r="I52" s="67" t="s">
        <v>107</v>
      </c>
      <c r="J52" s="67" t="n">
        <v>26</v>
      </c>
      <c r="K52" s="69" t="n">
        <v>0</v>
      </c>
      <c r="L52" s="70" t="n">
        <v>42745</v>
      </c>
      <c r="M52" s="67" t="s">
        <v>165</v>
      </c>
      <c r="N52" s="67" t="s">
        <v>165</v>
      </c>
      <c r="O52" s="67" t="n">
        <v>5</v>
      </c>
      <c r="P52" s="67" t="s">
        <v>112</v>
      </c>
      <c r="Q52" s="71" t="n">
        <f aca="false">MONTH(C52)</f>
        <v>8</v>
      </c>
      <c r="R52" s="72" t="str">
        <f aca="false">IF(D52&lt;=14,"1–14",IF(D52&lt;=24,"15–24",IF(D52&lt;=44,"25–44",IF(D52&lt;=64,"45–64","65+"))))</f>
        <v>1–14</v>
      </c>
      <c r="S52" s="72" t="str">
        <f aca="false">IF(J52&lt;=30,"Up to 30",IF(J52&lt;=60,"31–60",IF(J52&lt;=90,"61–90","Over 90")))</f>
        <v>Up to 30</v>
      </c>
      <c r="T52" s="71" t="n">
        <f aca="false">IF(J52&gt;'Scenario Lab'!$C$5,1,0)</f>
        <v>0</v>
      </c>
      <c r="U52" s="71" t="n">
        <f aca="false">IF(M52="Yes",1,0)</f>
        <v>1</v>
      </c>
      <c r="V52" s="71" t="n">
        <f aca="false">IF(AND(M52="Yes",N52="Yes"),1,0)</f>
        <v>1</v>
      </c>
      <c r="W52" s="72" t="str">
        <f aca="false">IF(AND(G52="Maternal Health",E52="Male",D52&gt;=15),"Review","OK")</f>
        <v>OK</v>
      </c>
    </row>
    <row r="53" customFormat="false" ht="15" hidden="false" customHeight="false" outlineLevel="0" collapsed="false">
      <c r="A53" s="67" t="s">
        <v>271</v>
      </c>
      <c r="B53" s="67" t="s">
        <v>272</v>
      </c>
      <c r="C53" s="68" t="n">
        <v>46138</v>
      </c>
      <c r="D53" s="67" t="n">
        <v>12</v>
      </c>
      <c r="E53" s="67" t="s">
        <v>173</v>
      </c>
      <c r="F53" s="67" t="s">
        <v>59</v>
      </c>
      <c r="G53" s="67" t="s">
        <v>66</v>
      </c>
      <c r="H53" s="67" t="s">
        <v>112</v>
      </c>
      <c r="I53" s="67" t="s">
        <v>108</v>
      </c>
      <c r="J53" s="67" t="n">
        <v>66</v>
      </c>
      <c r="K53" s="69" t="n">
        <v>2.4</v>
      </c>
      <c r="L53" s="70" t="n">
        <v>57590</v>
      </c>
      <c r="M53" s="67" t="s">
        <v>169</v>
      </c>
      <c r="N53" s="67" t="s">
        <v>170</v>
      </c>
      <c r="O53" s="67" t="n">
        <v>4</v>
      </c>
      <c r="P53" s="67" t="s">
        <v>166</v>
      </c>
      <c r="Q53" s="71" t="n">
        <f aca="false">MONTH(C53)</f>
        <v>4</v>
      </c>
      <c r="R53" s="72" t="str">
        <f aca="false">IF(D53&lt;=14,"1–14",IF(D53&lt;=24,"15–24",IF(D53&lt;=44,"25–44",IF(D53&lt;=64,"45–64","65+"))))</f>
        <v>1–14</v>
      </c>
      <c r="S53" s="72" t="str">
        <f aca="false">IF(J53&lt;=30,"Up to 30",IF(J53&lt;=60,"31–60",IF(J53&lt;=90,"61–90","Over 90")))</f>
        <v>61–90</v>
      </c>
      <c r="T53" s="71" t="n">
        <f aca="false">IF(J53&gt;'Scenario Lab'!$C$5,1,0)</f>
        <v>1</v>
      </c>
      <c r="U53" s="71" t="n">
        <f aca="false">IF(M53="Yes",1,0)</f>
        <v>0</v>
      </c>
      <c r="V53" s="71" t="n">
        <f aca="false">IF(AND(M53="Yes",N53="Yes"),1,0)</f>
        <v>0</v>
      </c>
      <c r="W53" s="72" t="str">
        <f aca="false">IF(AND(G53="Maternal Health",E53="Male",D53&gt;=15),"Review","OK")</f>
        <v>OK</v>
      </c>
    </row>
    <row r="54" customFormat="false" ht="15" hidden="false" customHeight="false" outlineLevel="0" collapsed="false">
      <c r="A54" s="67" t="s">
        <v>273</v>
      </c>
      <c r="B54" s="67" t="s">
        <v>274</v>
      </c>
      <c r="C54" s="68" t="n">
        <v>46229</v>
      </c>
      <c r="D54" s="67" t="n">
        <v>20</v>
      </c>
      <c r="E54" s="67" t="s">
        <v>164</v>
      </c>
      <c r="F54" s="67" t="s">
        <v>63</v>
      </c>
      <c r="G54" s="67" t="s">
        <v>62</v>
      </c>
      <c r="H54" s="67" t="s">
        <v>112</v>
      </c>
      <c r="I54" s="67" t="s">
        <v>108</v>
      </c>
      <c r="J54" s="67" t="n">
        <v>38</v>
      </c>
      <c r="K54" s="69" t="n">
        <v>1.2</v>
      </c>
      <c r="L54" s="70" t="n">
        <v>106612</v>
      </c>
      <c r="M54" s="67" t="s">
        <v>165</v>
      </c>
      <c r="N54" s="67" t="s">
        <v>165</v>
      </c>
      <c r="O54" s="67" t="n">
        <v>4</v>
      </c>
      <c r="P54" s="67" t="s">
        <v>166</v>
      </c>
      <c r="Q54" s="71" t="n">
        <f aca="false">MONTH(C54)</f>
        <v>7</v>
      </c>
      <c r="R54" s="72" t="str">
        <f aca="false">IF(D54&lt;=14,"1–14",IF(D54&lt;=24,"15–24",IF(D54&lt;=44,"25–44",IF(D54&lt;=64,"45–64","65+"))))</f>
        <v>15–24</v>
      </c>
      <c r="S54" s="72" t="str">
        <f aca="false">IF(J54&lt;=30,"Up to 30",IF(J54&lt;=60,"31–60",IF(J54&lt;=90,"61–90","Over 90")))</f>
        <v>31–60</v>
      </c>
      <c r="T54" s="71" t="n">
        <f aca="false">IF(J54&gt;'Scenario Lab'!$C$5,1,0)</f>
        <v>0</v>
      </c>
      <c r="U54" s="71" t="n">
        <f aca="false">IF(M54="Yes",1,0)</f>
        <v>1</v>
      </c>
      <c r="V54" s="71" t="n">
        <f aca="false">IF(AND(M54="Yes",N54="Yes"),1,0)</f>
        <v>1</v>
      </c>
      <c r="W54" s="72" t="str">
        <f aca="false">IF(AND(G54="Maternal Health",E54="Male",D54&gt;=15),"Review","OK")</f>
        <v>OK</v>
      </c>
    </row>
    <row r="55" customFormat="false" ht="15" hidden="false" customHeight="false" outlineLevel="0" collapsed="false">
      <c r="A55" s="67" t="s">
        <v>275</v>
      </c>
      <c r="B55" s="67" t="s">
        <v>276</v>
      </c>
      <c r="C55" s="68" t="n">
        <v>46033</v>
      </c>
      <c r="D55" s="67" t="n">
        <v>13</v>
      </c>
      <c r="E55" s="67" t="s">
        <v>164</v>
      </c>
      <c r="F55" s="67" t="s">
        <v>67</v>
      </c>
      <c r="G55" s="67" t="s">
        <v>64</v>
      </c>
      <c r="H55" s="67" t="s">
        <v>64</v>
      </c>
      <c r="I55" s="67" t="s">
        <v>105</v>
      </c>
      <c r="J55" s="67" t="n">
        <v>34</v>
      </c>
      <c r="K55" s="69" t="n">
        <v>0.3</v>
      </c>
      <c r="L55" s="70" t="n">
        <v>37617</v>
      </c>
      <c r="M55" s="67" t="s">
        <v>169</v>
      </c>
      <c r="N55" s="67" t="s">
        <v>170</v>
      </c>
      <c r="O55" s="67" t="n">
        <v>5</v>
      </c>
      <c r="P55" s="67" t="s">
        <v>180</v>
      </c>
      <c r="Q55" s="71" t="n">
        <f aca="false">MONTH(C55)</f>
        <v>1</v>
      </c>
      <c r="R55" s="72" t="str">
        <f aca="false">IF(D55&lt;=14,"1–14",IF(D55&lt;=24,"15–24",IF(D55&lt;=44,"25–44",IF(D55&lt;=64,"45–64","65+"))))</f>
        <v>1–14</v>
      </c>
      <c r="S55" s="72" t="str">
        <f aca="false">IF(J55&lt;=30,"Up to 30",IF(J55&lt;=60,"31–60",IF(J55&lt;=90,"61–90","Over 90")))</f>
        <v>31–60</v>
      </c>
      <c r="T55" s="71" t="n">
        <f aca="false">IF(J55&gt;'Scenario Lab'!$C$5,1,0)</f>
        <v>0</v>
      </c>
      <c r="U55" s="71" t="n">
        <f aca="false">IF(M55="Yes",1,0)</f>
        <v>0</v>
      </c>
      <c r="V55" s="71" t="n">
        <f aca="false">IF(AND(M55="Yes",N55="Yes"),1,0)</f>
        <v>0</v>
      </c>
      <c r="W55" s="72" t="str">
        <f aca="false">IF(AND(G55="Maternal Health",E55="Male",D55&gt;=15),"Review","OK")</f>
        <v>OK</v>
      </c>
    </row>
    <row r="56" customFormat="false" ht="15" hidden="false" customHeight="false" outlineLevel="0" collapsed="false">
      <c r="A56" s="67" t="s">
        <v>277</v>
      </c>
      <c r="B56" s="67" t="s">
        <v>278</v>
      </c>
      <c r="C56" s="68" t="n">
        <v>46069</v>
      </c>
      <c r="D56" s="67" t="n">
        <v>28</v>
      </c>
      <c r="E56" s="67" t="s">
        <v>164</v>
      </c>
      <c r="F56" s="67" t="s">
        <v>63</v>
      </c>
      <c r="G56" s="67" t="s">
        <v>64</v>
      </c>
      <c r="H56" s="67" t="s">
        <v>58</v>
      </c>
      <c r="I56" s="67" t="s">
        <v>104</v>
      </c>
      <c r="J56" s="67" t="n">
        <v>23</v>
      </c>
      <c r="K56" s="69" t="n">
        <v>4.1</v>
      </c>
      <c r="L56" s="70" t="n">
        <v>75138</v>
      </c>
      <c r="M56" s="67" t="s">
        <v>169</v>
      </c>
      <c r="N56" s="67" t="s">
        <v>170</v>
      </c>
      <c r="O56" s="67" t="n">
        <v>5</v>
      </c>
      <c r="P56" s="67" t="s">
        <v>166</v>
      </c>
      <c r="Q56" s="71" t="n">
        <f aca="false">MONTH(C56)</f>
        <v>2</v>
      </c>
      <c r="R56" s="72" t="str">
        <f aca="false">IF(D56&lt;=14,"1–14",IF(D56&lt;=24,"15–24",IF(D56&lt;=44,"25–44",IF(D56&lt;=64,"45–64","65+"))))</f>
        <v>25–44</v>
      </c>
      <c r="S56" s="72" t="str">
        <f aca="false">IF(J56&lt;=30,"Up to 30",IF(J56&lt;=60,"31–60",IF(J56&lt;=90,"61–90","Over 90")))</f>
        <v>Up to 30</v>
      </c>
      <c r="T56" s="71" t="n">
        <f aca="false">IF(J56&gt;'Scenario Lab'!$C$5,1,0)</f>
        <v>0</v>
      </c>
      <c r="U56" s="71" t="n">
        <f aca="false">IF(M56="Yes",1,0)</f>
        <v>0</v>
      </c>
      <c r="V56" s="71" t="n">
        <f aca="false">IF(AND(M56="Yes",N56="Yes"),1,0)</f>
        <v>0</v>
      </c>
      <c r="W56" s="72" t="str">
        <f aca="false">IF(AND(G56="Maternal Health",E56="Male",D56&gt;=15),"Review","OK")</f>
        <v>OK</v>
      </c>
    </row>
    <row r="57" customFormat="false" ht="15" hidden="false" customHeight="false" outlineLevel="0" collapsed="false">
      <c r="A57" s="67" t="s">
        <v>279</v>
      </c>
      <c r="B57" s="67" t="s">
        <v>280</v>
      </c>
      <c r="C57" s="68" t="n">
        <v>46082</v>
      </c>
      <c r="D57" s="67" t="n">
        <v>15</v>
      </c>
      <c r="E57" s="67" t="s">
        <v>164</v>
      </c>
      <c r="F57" s="67" t="s">
        <v>61</v>
      </c>
      <c r="G57" s="67" t="s">
        <v>58</v>
      </c>
      <c r="H57" s="67" t="s">
        <v>58</v>
      </c>
      <c r="I57" s="67" t="s">
        <v>105</v>
      </c>
      <c r="J57" s="67" t="n">
        <v>79</v>
      </c>
      <c r="K57" s="69" t="n">
        <v>1.6</v>
      </c>
      <c r="L57" s="70" t="n">
        <v>98861</v>
      </c>
      <c r="M57" s="67" t="s">
        <v>165</v>
      </c>
      <c r="N57" s="67" t="s">
        <v>165</v>
      </c>
      <c r="O57" s="67" t="n">
        <v>4</v>
      </c>
      <c r="P57" s="67" t="s">
        <v>166</v>
      </c>
      <c r="Q57" s="71" t="n">
        <f aca="false">MONTH(C57)</f>
        <v>3</v>
      </c>
      <c r="R57" s="72" t="str">
        <f aca="false">IF(D57&lt;=14,"1–14",IF(D57&lt;=24,"15–24",IF(D57&lt;=44,"25–44",IF(D57&lt;=64,"45–64","65+"))))</f>
        <v>15–24</v>
      </c>
      <c r="S57" s="72" t="str">
        <f aca="false">IF(J57&lt;=30,"Up to 30",IF(J57&lt;=60,"31–60",IF(J57&lt;=90,"61–90","Over 90")))</f>
        <v>61–90</v>
      </c>
      <c r="T57" s="71" t="n">
        <f aca="false">IF(J57&gt;'Scenario Lab'!$C$5,1,0)</f>
        <v>1</v>
      </c>
      <c r="U57" s="71" t="n">
        <f aca="false">IF(M57="Yes",1,0)</f>
        <v>1</v>
      </c>
      <c r="V57" s="71" t="n">
        <f aca="false">IF(AND(M57="Yes",N57="Yes"),1,0)</f>
        <v>1</v>
      </c>
      <c r="W57" s="72" t="str">
        <f aca="false">IF(AND(G57="Maternal Health",E57="Male",D57&gt;=15),"Review","OK")</f>
        <v>OK</v>
      </c>
    </row>
    <row r="58" customFormat="false" ht="15" hidden="false" customHeight="false" outlineLevel="0" collapsed="false">
      <c r="A58" s="67" t="s">
        <v>281</v>
      </c>
      <c r="B58" s="67" t="s">
        <v>282</v>
      </c>
      <c r="C58" s="68" t="n">
        <v>46090</v>
      </c>
      <c r="D58" s="67" t="n">
        <v>17</v>
      </c>
      <c r="E58" s="67" t="s">
        <v>164</v>
      </c>
      <c r="F58" s="67" t="s">
        <v>67</v>
      </c>
      <c r="G58" s="67" t="s">
        <v>64</v>
      </c>
      <c r="H58" s="67" t="s">
        <v>58</v>
      </c>
      <c r="I58" s="67" t="s">
        <v>107</v>
      </c>
      <c r="J58" s="67" t="n">
        <v>45</v>
      </c>
      <c r="K58" s="69" t="n">
        <v>0.9</v>
      </c>
      <c r="L58" s="70" t="n">
        <v>36383</v>
      </c>
      <c r="M58" s="67" t="s">
        <v>165</v>
      </c>
      <c r="N58" s="67" t="s">
        <v>165</v>
      </c>
      <c r="O58" s="67" t="n">
        <v>4</v>
      </c>
      <c r="P58" s="67" t="s">
        <v>166</v>
      </c>
      <c r="Q58" s="71" t="n">
        <f aca="false">MONTH(C58)</f>
        <v>3</v>
      </c>
      <c r="R58" s="72" t="str">
        <f aca="false">IF(D58&lt;=14,"1–14",IF(D58&lt;=24,"15–24",IF(D58&lt;=44,"25–44",IF(D58&lt;=64,"45–64","65+"))))</f>
        <v>15–24</v>
      </c>
      <c r="S58" s="72" t="str">
        <f aca="false">IF(J58&lt;=30,"Up to 30",IF(J58&lt;=60,"31–60",IF(J58&lt;=90,"61–90","Over 90")))</f>
        <v>31–60</v>
      </c>
      <c r="T58" s="71" t="n">
        <f aca="false">IF(J58&gt;'Scenario Lab'!$C$5,1,0)</f>
        <v>0</v>
      </c>
      <c r="U58" s="71" t="n">
        <f aca="false">IF(M58="Yes",1,0)</f>
        <v>1</v>
      </c>
      <c r="V58" s="71" t="n">
        <f aca="false">IF(AND(M58="Yes",N58="Yes"),1,0)</f>
        <v>1</v>
      </c>
      <c r="W58" s="72" t="str">
        <f aca="false">IF(AND(G58="Maternal Health",E58="Male",D58&gt;=15),"Review","OK")</f>
        <v>OK</v>
      </c>
    </row>
    <row r="59" customFormat="false" ht="15" hidden="false" customHeight="false" outlineLevel="0" collapsed="false">
      <c r="A59" s="67" t="s">
        <v>283</v>
      </c>
      <c r="B59" s="67" t="s">
        <v>284</v>
      </c>
      <c r="C59" s="68" t="n">
        <v>46081</v>
      </c>
      <c r="D59" s="67" t="n">
        <v>8</v>
      </c>
      <c r="E59" s="67" t="s">
        <v>164</v>
      </c>
      <c r="F59" s="67" t="s">
        <v>59</v>
      </c>
      <c r="G59" s="67" t="s">
        <v>64</v>
      </c>
      <c r="H59" s="67" t="s">
        <v>113</v>
      </c>
      <c r="I59" s="67" t="s">
        <v>103</v>
      </c>
      <c r="J59" s="67" t="n">
        <v>44</v>
      </c>
      <c r="K59" s="69" t="n">
        <v>0.1</v>
      </c>
      <c r="L59" s="70" t="n">
        <v>41178</v>
      </c>
      <c r="M59" s="67" t="s">
        <v>165</v>
      </c>
      <c r="N59" s="67" t="s">
        <v>165</v>
      </c>
      <c r="O59" s="67" t="n">
        <v>5</v>
      </c>
      <c r="P59" s="67" t="s">
        <v>285</v>
      </c>
      <c r="Q59" s="71" t="n">
        <f aca="false">MONTH(C59)</f>
        <v>2</v>
      </c>
      <c r="R59" s="72" t="str">
        <f aca="false">IF(D59&lt;=14,"1–14",IF(D59&lt;=24,"15–24",IF(D59&lt;=44,"25–44",IF(D59&lt;=64,"45–64","65+"))))</f>
        <v>1–14</v>
      </c>
      <c r="S59" s="72" t="str">
        <f aca="false">IF(J59&lt;=30,"Up to 30",IF(J59&lt;=60,"31–60",IF(J59&lt;=90,"61–90","Over 90")))</f>
        <v>31–60</v>
      </c>
      <c r="T59" s="71" t="n">
        <f aca="false">IF(J59&gt;'Scenario Lab'!$C$5,1,0)</f>
        <v>0</v>
      </c>
      <c r="U59" s="71" t="n">
        <f aca="false">IF(M59="Yes",1,0)</f>
        <v>1</v>
      </c>
      <c r="V59" s="71" t="n">
        <f aca="false">IF(AND(M59="Yes",N59="Yes"),1,0)</f>
        <v>1</v>
      </c>
      <c r="W59" s="72" t="str">
        <f aca="false">IF(AND(G59="Maternal Health",E59="Male",D59&gt;=15),"Review","OK")</f>
        <v>OK</v>
      </c>
    </row>
    <row r="60" customFormat="false" ht="15" hidden="false" customHeight="false" outlineLevel="0" collapsed="false">
      <c r="A60" s="67" t="s">
        <v>286</v>
      </c>
      <c r="B60" s="67" t="s">
        <v>287</v>
      </c>
      <c r="C60" s="68" t="n">
        <v>46092</v>
      </c>
      <c r="D60" s="67" t="n">
        <v>65</v>
      </c>
      <c r="E60" s="67" t="s">
        <v>173</v>
      </c>
      <c r="F60" s="67" t="s">
        <v>67</v>
      </c>
      <c r="G60" s="67" t="s">
        <v>58</v>
      </c>
      <c r="H60" s="67" t="s">
        <v>58</v>
      </c>
      <c r="I60" s="67" t="s">
        <v>109</v>
      </c>
      <c r="J60" s="67" t="n">
        <v>92</v>
      </c>
      <c r="K60" s="69" t="n">
        <v>0.8</v>
      </c>
      <c r="L60" s="70" t="n">
        <v>86458</v>
      </c>
      <c r="M60" s="67" t="s">
        <v>165</v>
      </c>
      <c r="N60" s="67" t="s">
        <v>165</v>
      </c>
      <c r="O60" s="67" t="n">
        <v>4</v>
      </c>
      <c r="P60" s="67" t="s">
        <v>112</v>
      </c>
      <c r="Q60" s="71" t="n">
        <f aca="false">MONTH(C60)</f>
        <v>3</v>
      </c>
      <c r="R60" s="72" t="str">
        <f aca="false">IF(D60&lt;=14,"1–14",IF(D60&lt;=24,"15–24",IF(D60&lt;=44,"25–44",IF(D60&lt;=64,"45–64","65+"))))</f>
        <v>65+</v>
      </c>
      <c r="S60" s="72" t="str">
        <f aca="false">IF(J60&lt;=30,"Up to 30",IF(J60&lt;=60,"31–60",IF(J60&lt;=90,"61–90","Over 90")))</f>
        <v>Over 90</v>
      </c>
      <c r="T60" s="71" t="n">
        <f aca="false">IF(J60&gt;'Scenario Lab'!$C$5,1,0)</f>
        <v>1</v>
      </c>
      <c r="U60" s="71" t="n">
        <f aca="false">IF(M60="Yes",1,0)</f>
        <v>1</v>
      </c>
      <c r="V60" s="71" t="n">
        <f aca="false">IF(AND(M60="Yes",N60="Yes"),1,0)</f>
        <v>1</v>
      </c>
      <c r="W60" s="72" t="str">
        <f aca="false">IF(AND(G60="Maternal Health",E60="Male",D60&gt;=15),"Review","OK")</f>
        <v>OK</v>
      </c>
    </row>
    <row r="61" customFormat="false" ht="15" hidden="false" customHeight="false" outlineLevel="0" collapsed="false">
      <c r="A61" s="67" t="s">
        <v>288</v>
      </c>
      <c r="B61" s="67" t="s">
        <v>289</v>
      </c>
      <c r="C61" s="68" t="n">
        <v>46273</v>
      </c>
      <c r="D61" s="67" t="n">
        <v>30</v>
      </c>
      <c r="E61" s="67" t="s">
        <v>173</v>
      </c>
      <c r="F61" s="67" t="s">
        <v>61</v>
      </c>
      <c r="G61" s="67" t="s">
        <v>64</v>
      </c>
      <c r="H61" s="67" t="s">
        <v>113</v>
      </c>
      <c r="I61" s="67" t="s">
        <v>105</v>
      </c>
      <c r="J61" s="67" t="n">
        <v>62</v>
      </c>
      <c r="K61" s="69" t="n">
        <v>2.7</v>
      </c>
      <c r="L61" s="70" t="n">
        <v>57296</v>
      </c>
      <c r="M61" s="67" t="s">
        <v>169</v>
      </c>
      <c r="N61" s="67" t="s">
        <v>170</v>
      </c>
      <c r="O61" s="67" t="n">
        <v>4</v>
      </c>
      <c r="P61" s="67" t="s">
        <v>285</v>
      </c>
      <c r="Q61" s="71" t="n">
        <f aca="false">MONTH(C61)</f>
        <v>9</v>
      </c>
      <c r="R61" s="72" t="str">
        <f aca="false">IF(D61&lt;=14,"1–14",IF(D61&lt;=24,"15–24",IF(D61&lt;=44,"25–44",IF(D61&lt;=64,"45–64","65+"))))</f>
        <v>25–44</v>
      </c>
      <c r="S61" s="72" t="str">
        <f aca="false">IF(J61&lt;=30,"Up to 30",IF(J61&lt;=60,"31–60",IF(J61&lt;=90,"61–90","Over 90")))</f>
        <v>61–90</v>
      </c>
      <c r="T61" s="71" t="n">
        <f aca="false">IF(J61&gt;'Scenario Lab'!$C$5,1,0)</f>
        <v>1</v>
      </c>
      <c r="U61" s="71" t="n">
        <f aca="false">IF(M61="Yes",1,0)</f>
        <v>0</v>
      </c>
      <c r="V61" s="71" t="n">
        <f aca="false">IF(AND(M61="Yes",N61="Yes"),1,0)</f>
        <v>0</v>
      </c>
      <c r="W61" s="72" t="str">
        <f aca="false">IF(AND(G61="Maternal Health",E61="Male",D61&gt;=15),"Review","OK")</f>
        <v>OK</v>
      </c>
    </row>
    <row r="62" customFormat="false" ht="15" hidden="false" customHeight="false" outlineLevel="0" collapsed="false">
      <c r="A62" s="67" t="s">
        <v>290</v>
      </c>
      <c r="B62" s="67" t="s">
        <v>291</v>
      </c>
      <c r="C62" s="68" t="n">
        <v>46233</v>
      </c>
      <c r="D62" s="67" t="n">
        <v>15</v>
      </c>
      <c r="E62" s="67" t="s">
        <v>173</v>
      </c>
      <c r="F62" s="67" t="s">
        <v>67</v>
      </c>
      <c r="G62" s="67" t="s">
        <v>64</v>
      </c>
      <c r="H62" s="67" t="s">
        <v>112</v>
      </c>
      <c r="I62" s="67" t="s">
        <v>109</v>
      </c>
      <c r="J62" s="67" t="n">
        <v>41</v>
      </c>
      <c r="K62" s="69" t="n">
        <v>4.5</v>
      </c>
      <c r="L62" s="70" t="n">
        <v>89153</v>
      </c>
      <c r="M62" s="67" t="s">
        <v>165</v>
      </c>
      <c r="N62" s="67" t="s">
        <v>165</v>
      </c>
      <c r="O62" s="67" t="n">
        <v>4</v>
      </c>
      <c r="P62" s="67" t="s">
        <v>180</v>
      </c>
      <c r="Q62" s="71" t="n">
        <f aca="false">MONTH(C62)</f>
        <v>7</v>
      </c>
      <c r="R62" s="72" t="str">
        <f aca="false">IF(D62&lt;=14,"1–14",IF(D62&lt;=24,"15–24",IF(D62&lt;=44,"25–44",IF(D62&lt;=64,"45–64","65+"))))</f>
        <v>15–24</v>
      </c>
      <c r="S62" s="72" t="str">
        <f aca="false">IF(J62&lt;=30,"Up to 30",IF(J62&lt;=60,"31–60",IF(J62&lt;=90,"61–90","Over 90")))</f>
        <v>31–60</v>
      </c>
      <c r="T62" s="71" t="n">
        <f aca="false">IF(J62&gt;'Scenario Lab'!$C$5,1,0)</f>
        <v>0</v>
      </c>
      <c r="U62" s="71" t="n">
        <f aca="false">IF(M62="Yes",1,0)</f>
        <v>1</v>
      </c>
      <c r="V62" s="71" t="n">
        <f aca="false">IF(AND(M62="Yes",N62="Yes"),1,0)</f>
        <v>1</v>
      </c>
      <c r="W62" s="72" t="str">
        <f aca="false">IF(AND(G62="Maternal Health",E62="Male",D62&gt;=15),"Review","OK")</f>
        <v>OK</v>
      </c>
    </row>
    <row r="63" customFormat="false" ht="15" hidden="false" customHeight="false" outlineLevel="0" collapsed="false">
      <c r="A63" s="67" t="s">
        <v>292</v>
      </c>
      <c r="B63" s="67" t="s">
        <v>293</v>
      </c>
      <c r="C63" s="68" t="n">
        <v>46074</v>
      </c>
      <c r="D63" s="67" t="n">
        <v>35</v>
      </c>
      <c r="E63" s="67" t="s">
        <v>173</v>
      </c>
      <c r="F63" s="67" t="s">
        <v>65</v>
      </c>
      <c r="G63" s="67" t="s">
        <v>60</v>
      </c>
      <c r="H63" s="67" t="s">
        <v>113</v>
      </c>
      <c r="I63" s="67" t="s">
        <v>106</v>
      </c>
      <c r="J63" s="67" t="n">
        <v>23</v>
      </c>
      <c r="K63" s="69" t="n">
        <v>1.5</v>
      </c>
      <c r="L63" s="70" t="n">
        <v>93690</v>
      </c>
      <c r="M63" s="67" t="s">
        <v>165</v>
      </c>
      <c r="N63" s="67" t="s">
        <v>169</v>
      </c>
      <c r="O63" s="67" t="n">
        <v>5</v>
      </c>
      <c r="P63" s="67" t="s">
        <v>166</v>
      </c>
      <c r="Q63" s="71" t="n">
        <f aca="false">MONTH(C63)</f>
        <v>2</v>
      </c>
      <c r="R63" s="72" t="str">
        <f aca="false">IF(D63&lt;=14,"1–14",IF(D63&lt;=24,"15–24",IF(D63&lt;=44,"25–44",IF(D63&lt;=64,"45–64","65+"))))</f>
        <v>25–44</v>
      </c>
      <c r="S63" s="72" t="str">
        <f aca="false">IF(J63&lt;=30,"Up to 30",IF(J63&lt;=60,"31–60",IF(J63&lt;=90,"61–90","Over 90")))</f>
        <v>Up to 30</v>
      </c>
      <c r="T63" s="71" t="n">
        <f aca="false">IF(J63&gt;'Scenario Lab'!$C$5,1,0)</f>
        <v>0</v>
      </c>
      <c r="U63" s="71" t="n">
        <f aca="false">IF(M63="Yes",1,0)</f>
        <v>1</v>
      </c>
      <c r="V63" s="71" t="n">
        <f aca="false">IF(AND(M63="Yes",N63="Yes"),1,0)</f>
        <v>0</v>
      </c>
      <c r="W63" s="72" t="str">
        <f aca="false">IF(AND(G63="Maternal Health",E63="Male",D63&gt;=15),"Review","OK")</f>
        <v>OK</v>
      </c>
    </row>
    <row r="64" customFormat="false" ht="15" hidden="false" customHeight="false" outlineLevel="0" collapsed="false">
      <c r="A64" s="67" t="s">
        <v>294</v>
      </c>
      <c r="B64" s="67" t="s">
        <v>295</v>
      </c>
      <c r="C64" s="68" t="n">
        <v>46226</v>
      </c>
      <c r="D64" s="67" t="n">
        <v>14</v>
      </c>
      <c r="E64" s="67" t="s">
        <v>173</v>
      </c>
      <c r="F64" s="67" t="s">
        <v>59</v>
      </c>
      <c r="G64" s="67" t="s">
        <v>64</v>
      </c>
      <c r="H64" s="67" t="s">
        <v>112</v>
      </c>
      <c r="I64" s="67" t="s">
        <v>109</v>
      </c>
      <c r="J64" s="67" t="n">
        <v>42</v>
      </c>
      <c r="K64" s="69" t="n">
        <v>1.5</v>
      </c>
      <c r="L64" s="70" t="n">
        <v>53027</v>
      </c>
      <c r="M64" s="67" t="s">
        <v>169</v>
      </c>
      <c r="N64" s="67" t="s">
        <v>170</v>
      </c>
      <c r="O64" s="67" t="n">
        <v>5</v>
      </c>
      <c r="P64" s="67" t="s">
        <v>166</v>
      </c>
      <c r="Q64" s="71" t="n">
        <f aca="false">MONTH(C64)</f>
        <v>7</v>
      </c>
      <c r="R64" s="72" t="str">
        <f aca="false">IF(D64&lt;=14,"1–14",IF(D64&lt;=24,"15–24",IF(D64&lt;=44,"25–44",IF(D64&lt;=64,"45–64","65+"))))</f>
        <v>1–14</v>
      </c>
      <c r="S64" s="72" t="str">
        <f aca="false">IF(J64&lt;=30,"Up to 30",IF(J64&lt;=60,"31–60",IF(J64&lt;=90,"61–90","Over 90")))</f>
        <v>31–60</v>
      </c>
      <c r="T64" s="71" t="n">
        <f aca="false">IF(J64&gt;'Scenario Lab'!$C$5,1,0)</f>
        <v>0</v>
      </c>
      <c r="U64" s="71" t="n">
        <f aca="false">IF(M64="Yes",1,0)</f>
        <v>0</v>
      </c>
      <c r="V64" s="71" t="n">
        <f aca="false">IF(AND(M64="Yes",N64="Yes"),1,0)</f>
        <v>0</v>
      </c>
      <c r="W64" s="72" t="str">
        <f aca="false">IF(AND(G64="Maternal Health",E64="Male",D64&gt;=15),"Review","OK")</f>
        <v>OK</v>
      </c>
    </row>
    <row r="65" customFormat="false" ht="15" hidden="false" customHeight="false" outlineLevel="0" collapsed="false">
      <c r="A65" s="67" t="s">
        <v>296</v>
      </c>
      <c r="B65" s="67" t="s">
        <v>297</v>
      </c>
      <c r="C65" s="68" t="n">
        <v>46170</v>
      </c>
      <c r="D65" s="67" t="n">
        <v>45</v>
      </c>
      <c r="E65" s="67" t="s">
        <v>173</v>
      </c>
      <c r="F65" s="67" t="s">
        <v>61</v>
      </c>
      <c r="G65" s="67" t="s">
        <v>62</v>
      </c>
      <c r="H65" s="67" t="s">
        <v>112</v>
      </c>
      <c r="I65" s="67" t="s">
        <v>108</v>
      </c>
      <c r="J65" s="67" t="n">
        <v>29</v>
      </c>
      <c r="K65" s="69" t="n">
        <v>3.5</v>
      </c>
      <c r="L65" s="70" t="n">
        <v>112086</v>
      </c>
      <c r="M65" s="67" t="s">
        <v>169</v>
      </c>
      <c r="N65" s="67" t="s">
        <v>170</v>
      </c>
      <c r="O65" s="67" t="n">
        <v>5</v>
      </c>
      <c r="P65" s="67" t="s">
        <v>166</v>
      </c>
      <c r="Q65" s="71" t="n">
        <f aca="false">MONTH(C65)</f>
        <v>5</v>
      </c>
      <c r="R65" s="72" t="str">
        <f aca="false">IF(D65&lt;=14,"1–14",IF(D65&lt;=24,"15–24",IF(D65&lt;=44,"25–44",IF(D65&lt;=64,"45–64","65+"))))</f>
        <v>45–64</v>
      </c>
      <c r="S65" s="72" t="str">
        <f aca="false">IF(J65&lt;=30,"Up to 30",IF(J65&lt;=60,"31–60",IF(J65&lt;=90,"61–90","Over 90")))</f>
        <v>Up to 30</v>
      </c>
      <c r="T65" s="71" t="n">
        <f aca="false">IF(J65&gt;'Scenario Lab'!$C$5,1,0)</f>
        <v>0</v>
      </c>
      <c r="U65" s="71" t="n">
        <f aca="false">IF(M65="Yes",1,0)</f>
        <v>0</v>
      </c>
      <c r="V65" s="71" t="n">
        <f aca="false">IF(AND(M65="Yes",N65="Yes"),1,0)</f>
        <v>0</v>
      </c>
      <c r="W65" s="72" t="str">
        <f aca="false">IF(AND(G65="Maternal Health",E65="Male",D65&gt;=15),"Review","OK")</f>
        <v>Review</v>
      </c>
    </row>
    <row r="66" customFormat="false" ht="15" hidden="false" customHeight="false" outlineLevel="0" collapsed="false">
      <c r="A66" s="67" t="s">
        <v>298</v>
      </c>
      <c r="B66" s="67" t="s">
        <v>299</v>
      </c>
      <c r="C66" s="68" t="n">
        <v>46294</v>
      </c>
      <c r="D66" s="67" t="n">
        <v>35</v>
      </c>
      <c r="E66" s="67" t="s">
        <v>164</v>
      </c>
      <c r="F66" s="67" t="s">
        <v>59</v>
      </c>
      <c r="G66" s="67" t="s">
        <v>64</v>
      </c>
      <c r="H66" s="67" t="s">
        <v>64</v>
      </c>
      <c r="I66" s="67" t="s">
        <v>104</v>
      </c>
      <c r="J66" s="67" t="n">
        <v>17</v>
      </c>
      <c r="K66" s="69" t="n">
        <v>3.8</v>
      </c>
      <c r="L66" s="70" t="n">
        <v>81413</v>
      </c>
      <c r="M66" s="67" t="s">
        <v>165</v>
      </c>
      <c r="N66" s="67" t="s">
        <v>165</v>
      </c>
      <c r="O66" s="67" t="n">
        <v>5</v>
      </c>
      <c r="P66" s="67" t="s">
        <v>166</v>
      </c>
      <c r="Q66" s="71" t="n">
        <f aca="false">MONTH(C66)</f>
        <v>9</v>
      </c>
      <c r="R66" s="72" t="str">
        <f aca="false">IF(D66&lt;=14,"1–14",IF(D66&lt;=24,"15–24",IF(D66&lt;=44,"25–44",IF(D66&lt;=64,"45–64","65+"))))</f>
        <v>25–44</v>
      </c>
      <c r="S66" s="72" t="str">
        <f aca="false">IF(J66&lt;=30,"Up to 30",IF(J66&lt;=60,"31–60",IF(J66&lt;=90,"61–90","Over 90")))</f>
        <v>Up to 30</v>
      </c>
      <c r="T66" s="71" t="n">
        <f aca="false">IF(J66&gt;'Scenario Lab'!$C$5,1,0)</f>
        <v>0</v>
      </c>
      <c r="U66" s="71" t="n">
        <f aca="false">IF(M66="Yes",1,0)</f>
        <v>1</v>
      </c>
      <c r="V66" s="71" t="n">
        <f aca="false">IF(AND(M66="Yes",N66="Yes"),1,0)</f>
        <v>1</v>
      </c>
      <c r="W66" s="72" t="str">
        <f aca="false">IF(AND(G66="Maternal Health",E66="Male",D66&gt;=15),"Review","OK")</f>
        <v>OK</v>
      </c>
    </row>
    <row r="67" customFormat="false" ht="15" hidden="false" customHeight="false" outlineLevel="0" collapsed="false">
      <c r="A67" s="67" t="s">
        <v>300</v>
      </c>
      <c r="B67" s="67" t="s">
        <v>301</v>
      </c>
      <c r="C67" s="68" t="n">
        <v>46027</v>
      </c>
      <c r="D67" s="67" t="n">
        <v>3</v>
      </c>
      <c r="E67" s="67" t="s">
        <v>164</v>
      </c>
      <c r="F67" s="67" t="s">
        <v>67</v>
      </c>
      <c r="G67" s="67" t="s">
        <v>66</v>
      </c>
      <c r="H67" s="67" t="s">
        <v>113</v>
      </c>
      <c r="I67" s="67" t="s">
        <v>105</v>
      </c>
      <c r="J67" s="67" t="n">
        <v>32</v>
      </c>
      <c r="K67" s="69" t="n">
        <v>0.1</v>
      </c>
      <c r="L67" s="70" t="n">
        <v>47434</v>
      </c>
      <c r="M67" s="67" t="s">
        <v>165</v>
      </c>
      <c r="N67" s="67" t="s">
        <v>165</v>
      </c>
      <c r="O67" s="67" t="n">
        <v>4</v>
      </c>
      <c r="P67" s="67" t="s">
        <v>166</v>
      </c>
      <c r="Q67" s="71" t="n">
        <f aca="false">MONTH(C67)</f>
        <v>1</v>
      </c>
      <c r="R67" s="72" t="str">
        <f aca="false">IF(D67&lt;=14,"1–14",IF(D67&lt;=24,"15–24",IF(D67&lt;=44,"25–44",IF(D67&lt;=64,"45–64","65+"))))</f>
        <v>1–14</v>
      </c>
      <c r="S67" s="72" t="str">
        <f aca="false">IF(J67&lt;=30,"Up to 30",IF(J67&lt;=60,"31–60",IF(J67&lt;=90,"61–90","Over 90")))</f>
        <v>31–60</v>
      </c>
      <c r="T67" s="71" t="n">
        <f aca="false">IF(J67&gt;'Scenario Lab'!$C$5,1,0)</f>
        <v>0</v>
      </c>
      <c r="U67" s="71" t="n">
        <f aca="false">IF(M67="Yes",1,0)</f>
        <v>1</v>
      </c>
      <c r="V67" s="71" t="n">
        <f aca="false">IF(AND(M67="Yes",N67="Yes"),1,0)</f>
        <v>1</v>
      </c>
      <c r="W67" s="72" t="str">
        <f aca="false">IF(AND(G67="Maternal Health",E67="Male",D67&gt;=15),"Review","OK")</f>
        <v>OK</v>
      </c>
    </row>
    <row r="68" customFormat="false" ht="15" hidden="false" customHeight="false" outlineLevel="0" collapsed="false">
      <c r="A68" s="67" t="s">
        <v>302</v>
      </c>
      <c r="B68" s="67" t="s">
        <v>303</v>
      </c>
      <c r="C68" s="68" t="n">
        <v>46219</v>
      </c>
      <c r="D68" s="67" t="n">
        <v>20</v>
      </c>
      <c r="E68" s="67" t="s">
        <v>164</v>
      </c>
      <c r="F68" s="67" t="s">
        <v>59</v>
      </c>
      <c r="G68" s="67" t="s">
        <v>64</v>
      </c>
      <c r="H68" s="67" t="s">
        <v>64</v>
      </c>
      <c r="I68" s="67" t="s">
        <v>109</v>
      </c>
      <c r="J68" s="67" t="n">
        <v>37</v>
      </c>
      <c r="K68" s="69" t="n">
        <v>1.2</v>
      </c>
      <c r="L68" s="70" t="n">
        <v>40300</v>
      </c>
      <c r="M68" s="67" t="s">
        <v>165</v>
      </c>
      <c r="N68" s="67" t="s">
        <v>169</v>
      </c>
      <c r="O68" s="67" t="n">
        <v>4</v>
      </c>
      <c r="P68" s="67" t="s">
        <v>166</v>
      </c>
      <c r="Q68" s="71" t="n">
        <f aca="false">MONTH(C68)</f>
        <v>7</v>
      </c>
      <c r="R68" s="72" t="str">
        <f aca="false">IF(D68&lt;=14,"1–14",IF(D68&lt;=24,"15–24",IF(D68&lt;=44,"25–44",IF(D68&lt;=64,"45–64","65+"))))</f>
        <v>15–24</v>
      </c>
      <c r="S68" s="72" t="str">
        <f aca="false">IF(J68&lt;=30,"Up to 30",IF(J68&lt;=60,"31–60",IF(J68&lt;=90,"61–90","Over 90")))</f>
        <v>31–60</v>
      </c>
      <c r="T68" s="71" t="n">
        <f aca="false">IF(J68&gt;'Scenario Lab'!$C$5,1,0)</f>
        <v>0</v>
      </c>
      <c r="U68" s="71" t="n">
        <f aca="false">IF(M68="Yes",1,0)</f>
        <v>1</v>
      </c>
      <c r="V68" s="71" t="n">
        <f aca="false">IF(AND(M68="Yes",N68="Yes"),1,0)</f>
        <v>0</v>
      </c>
      <c r="W68" s="72" t="str">
        <f aca="false">IF(AND(G68="Maternal Health",E68="Male",D68&gt;=15),"Review","OK")</f>
        <v>OK</v>
      </c>
    </row>
    <row r="69" customFormat="false" ht="15" hidden="false" customHeight="false" outlineLevel="0" collapsed="false">
      <c r="A69" s="67" t="s">
        <v>304</v>
      </c>
      <c r="B69" s="67" t="s">
        <v>305</v>
      </c>
      <c r="C69" s="68" t="n">
        <v>46048</v>
      </c>
      <c r="D69" s="67" t="n">
        <v>50</v>
      </c>
      <c r="E69" s="67" t="s">
        <v>173</v>
      </c>
      <c r="F69" s="67" t="s">
        <v>67</v>
      </c>
      <c r="G69" s="67" t="s">
        <v>64</v>
      </c>
      <c r="H69" s="67" t="s">
        <v>64</v>
      </c>
      <c r="I69" s="67" t="s">
        <v>104</v>
      </c>
      <c r="J69" s="67" t="n">
        <v>44</v>
      </c>
      <c r="K69" s="69" t="n">
        <v>0</v>
      </c>
      <c r="L69" s="70" t="n">
        <v>38725</v>
      </c>
      <c r="M69" s="67" t="s">
        <v>165</v>
      </c>
      <c r="N69" s="67" t="s">
        <v>169</v>
      </c>
      <c r="O69" s="67" t="n">
        <v>4</v>
      </c>
      <c r="P69" s="67" t="s">
        <v>112</v>
      </c>
      <c r="Q69" s="71" t="n">
        <f aca="false">MONTH(C69)</f>
        <v>1</v>
      </c>
      <c r="R69" s="72" t="str">
        <f aca="false">IF(D69&lt;=14,"1–14",IF(D69&lt;=24,"15–24",IF(D69&lt;=44,"25–44",IF(D69&lt;=64,"45–64","65+"))))</f>
        <v>45–64</v>
      </c>
      <c r="S69" s="72" t="str">
        <f aca="false">IF(J69&lt;=30,"Up to 30",IF(J69&lt;=60,"31–60",IF(J69&lt;=90,"61–90","Over 90")))</f>
        <v>31–60</v>
      </c>
      <c r="T69" s="71" t="n">
        <f aca="false">IF(J69&gt;'Scenario Lab'!$C$5,1,0)</f>
        <v>0</v>
      </c>
      <c r="U69" s="71" t="n">
        <f aca="false">IF(M69="Yes",1,0)</f>
        <v>1</v>
      </c>
      <c r="V69" s="71" t="n">
        <f aca="false">IF(AND(M69="Yes",N69="Yes"),1,0)</f>
        <v>0</v>
      </c>
      <c r="W69" s="72" t="str">
        <f aca="false">IF(AND(G69="Maternal Health",E69="Male",D69&gt;=15),"Review","OK")</f>
        <v>OK</v>
      </c>
    </row>
    <row r="70" customFormat="false" ht="15" hidden="false" customHeight="false" outlineLevel="0" collapsed="false">
      <c r="A70" s="67" t="s">
        <v>306</v>
      </c>
      <c r="B70" s="67" t="s">
        <v>307</v>
      </c>
      <c r="C70" s="68" t="n">
        <v>46093</v>
      </c>
      <c r="D70" s="67" t="n">
        <v>34</v>
      </c>
      <c r="E70" s="67" t="s">
        <v>173</v>
      </c>
      <c r="F70" s="67" t="s">
        <v>63</v>
      </c>
      <c r="G70" s="67" t="s">
        <v>64</v>
      </c>
      <c r="H70" s="67" t="s">
        <v>112</v>
      </c>
      <c r="I70" s="67" t="s">
        <v>109</v>
      </c>
      <c r="J70" s="67" t="n">
        <v>8</v>
      </c>
      <c r="K70" s="69" t="n">
        <v>1.4</v>
      </c>
      <c r="L70" s="70" t="n">
        <v>38847</v>
      </c>
      <c r="M70" s="67" t="s">
        <v>169</v>
      </c>
      <c r="N70" s="67" t="s">
        <v>170</v>
      </c>
      <c r="O70" s="67" t="n">
        <v>5</v>
      </c>
      <c r="P70" s="67" t="s">
        <v>112</v>
      </c>
      <c r="Q70" s="71" t="n">
        <f aca="false">MONTH(C70)</f>
        <v>3</v>
      </c>
      <c r="R70" s="72" t="str">
        <f aca="false">IF(D70&lt;=14,"1–14",IF(D70&lt;=24,"15–24",IF(D70&lt;=44,"25–44",IF(D70&lt;=64,"45–64","65+"))))</f>
        <v>25–44</v>
      </c>
      <c r="S70" s="72" t="str">
        <f aca="false">IF(J70&lt;=30,"Up to 30",IF(J70&lt;=60,"31–60",IF(J70&lt;=90,"61–90","Over 90")))</f>
        <v>Up to 30</v>
      </c>
      <c r="T70" s="71" t="n">
        <f aca="false">IF(J70&gt;'Scenario Lab'!$C$5,1,0)</f>
        <v>0</v>
      </c>
      <c r="U70" s="71" t="n">
        <f aca="false">IF(M70="Yes",1,0)</f>
        <v>0</v>
      </c>
      <c r="V70" s="71" t="n">
        <f aca="false">IF(AND(M70="Yes",N70="Yes"),1,0)</f>
        <v>0</v>
      </c>
      <c r="W70" s="72" t="str">
        <f aca="false">IF(AND(G70="Maternal Health",E70="Male",D70&gt;=15),"Review","OK")</f>
        <v>OK</v>
      </c>
    </row>
    <row r="71" customFormat="false" ht="15" hidden="false" customHeight="false" outlineLevel="0" collapsed="false">
      <c r="A71" s="67" t="s">
        <v>308</v>
      </c>
      <c r="B71" s="67" t="s">
        <v>309</v>
      </c>
      <c r="C71" s="68" t="n">
        <v>46090</v>
      </c>
      <c r="D71" s="67" t="n">
        <v>27</v>
      </c>
      <c r="E71" s="67" t="s">
        <v>173</v>
      </c>
      <c r="F71" s="67" t="s">
        <v>59</v>
      </c>
      <c r="G71" s="67" t="s">
        <v>62</v>
      </c>
      <c r="H71" s="67" t="s">
        <v>58</v>
      </c>
      <c r="I71" s="67" t="s">
        <v>108</v>
      </c>
      <c r="J71" s="67" t="n">
        <v>41</v>
      </c>
      <c r="K71" s="69" t="n">
        <v>2</v>
      </c>
      <c r="L71" s="70" t="n">
        <v>115868</v>
      </c>
      <c r="M71" s="67" t="s">
        <v>169</v>
      </c>
      <c r="N71" s="67" t="s">
        <v>170</v>
      </c>
      <c r="O71" s="67" t="n">
        <v>5</v>
      </c>
      <c r="P71" s="67" t="s">
        <v>166</v>
      </c>
      <c r="Q71" s="71" t="n">
        <f aca="false">MONTH(C71)</f>
        <v>3</v>
      </c>
      <c r="R71" s="72" t="str">
        <f aca="false">IF(D71&lt;=14,"1–14",IF(D71&lt;=24,"15–24",IF(D71&lt;=44,"25–44",IF(D71&lt;=64,"45–64","65+"))))</f>
        <v>25–44</v>
      </c>
      <c r="S71" s="72" t="str">
        <f aca="false">IF(J71&lt;=30,"Up to 30",IF(J71&lt;=60,"31–60",IF(J71&lt;=90,"61–90","Over 90")))</f>
        <v>31–60</v>
      </c>
      <c r="T71" s="71" t="n">
        <f aca="false">IF(J71&gt;'Scenario Lab'!$C$5,1,0)</f>
        <v>0</v>
      </c>
      <c r="U71" s="71" t="n">
        <f aca="false">IF(M71="Yes",1,0)</f>
        <v>0</v>
      </c>
      <c r="V71" s="71" t="n">
        <f aca="false">IF(AND(M71="Yes",N71="Yes"),1,0)</f>
        <v>0</v>
      </c>
      <c r="W71" s="72" t="str">
        <f aca="false">IF(AND(G71="Maternal Health",E71="Male",D71&gt;=15),"Review","OK")</f>
        <v>Review</v>
      </c>
    </row>
    <row r="72" customFormat="false" ht="15" hidden="false" customHeight="false" outlineLevel="0" collapsed="false">
      <c r="A72" s="67" t="s">
        <v>310</v>
      </c>
      <c r="B72" s="67" t="s">
        <v>311</v>
      </c>
      <c r="C72" s="68" t="n">
        <v>46095</v>
      </c>
      <c r="D72" s="67" t="n">
        <v>48</v>
      </c>
      <c r="E72" s="67" t="s">
        <v>173</v>
      </c>
      <c r="F72" s="67" t="s">
        <v>63</v>
      </c>
      <c r="G72" s="67" t="s">
        <v>64</v>
      </c>
      <c r="H72" s="67" t="s">
        <v>64</v>
      </c>
      <c r="I72" s="67" t="s">
        <v>106</v>
      </c>
      <c r="J72" s="67" t="n">
        <v>24</v>
      </c>
      <c r="K72" s="69" t="n">
        <v>0.8</v>
      </c>
      <c r="L72" s="70" t="n">
        <v>46433</v>
      </c>
      <c r="M72" s="67" t="s">
        <v>165</v>
      </c>
      <c r="N72" s="67" t="s">
        <v>165</v>
      </c>
      <c r="O72" s="67" t="n">
        <v>4</v>
      </c>
      <c r="P72" s="67" t="s">
        <v>285</v>
      </c>
      <c r="Q72" s="71" t="n">
        <f aca="false">MONTH(C72)</f>
        <v>3</v>
      </c>
      <c r="R72" s="72" t="str">
        <f aca="false">IF(D72&lt;=14,"1–14",IF(D72&lt;=24,"15–24",IF(D72&lt;=44,"25–44",IF(D72&lt;=64,"45–64","65+"))))</f>
        <v>45–64</v>
      </c>
      <c r="S72" s="72" t="str">
        <f aca="false">IF(J72&lt;=30,"Up to 30",IF(J72&lt;=60,"31–60",IF(J72&lt;=90,"61–90","Over 90")))</f>
        <v>Up to 30</v>
      </c>
      <c r="T72" s="71" t="n">
        <f aca="false">IF(J72&gt;'Scenario Lab'!$C$5,1,0)</f>
        <v>0</v>
      </c>
      <c r="U72" s="71" t="n">
        <f aca="false">IF(M72="Yes",1,0)</f>
        <v>1</v>
      </c>
      <c r="V72" s="71" t="n">
        <f aca="false">IF(AND(M72="Yes",N72="Yes"),1,0)</f>
        <v>1</v>
      </c>
      <c r="W72" s="72" t="str">
        <f aca="false">IF(AND(G72="Maternal Health",E72="Male",D72&gt;=15),"Review","OK")</f>
        <v>OK</v>
      </c>
    </row>
    <row r="73" customFormat="false" ht="15" hidden="false" customHeight="false" outlineLevel="0" collapsed="false">
      <c r="A73" s="67" t="s">
        <v>312</v>
      </c>
      <c r="B73" s="67" t="s">
        <v>313</v>
      </c>
      <c r="C73" s="68" t="n">
        <v>46218</v>
      </c>
      <c r="D73" s="67" t="n">
        <v>61</v>
      </c>
      <c r="E73" s="67" t="s">
        <v>173</v>
      </c>
      <c r="F73" s="67" t="s">
        <v>67</v>
      </c>
      <c r="G73" s="67" t="s">
        <v>68</v>
      </c>
      <c r="H73" s="67" t="s">
        <v>64</v>
      </c>
      <c r="I73" s="67" t="s">
        <v>106</v>
      </c>
      <c r="J73" s="67" t="n">
        <v>88</v>
      </c>
      <c r="K73" s="69" t="n">
        <v>0</v>
      </c>
      <c r="L73" s="70" t="n">
        <v>137529</v>
      </c>
      <c r="M73" s="67" t="s">
        <v>169</v>
      </c>
      <c r="N73" s="67" t="s">
        <v>170</v>
      </c>
      <c r="O73" s="67" t="n">
        <v>3</v>
      </c>
      <c r="P73" s="67" t="s">
        <v>112</v>
      </c>
      <c r="Q73" s="71" t="n">
        <f aca="false">MONTH(C73)</f>
        <v>7</v>
      </c>
      <c r="R73" s="72" t="str">
        <f aca="false">IF(D73&lt;=14,"1–14",IF(D73&lt;=24,"15–24",IF(D73&lt;=44,"25–44",IF(D73&lt;=64,"45–64","65+"))))</f>
        <v>45–64</v>
      </c>
      <c r="S73" s="72" t="str">
        <f aca="false">IF(J73&lt;=30,"Up to 30",IF(J73&lt;=60,"31–60",IF(J73&lt;=90,"61–90","Over 90")))</f>
        <v>61–90</v>
      </c>
      <c r="T73" s="71" t="n">
        <f aca="false">IF(J73&gt;'Scenario Lab'!$C$5,1,0)</f>
        <v>1</v>
      </c>
      <c r="U73" s="71" t="n">
        <f aca="false">IF(M73="Yes",1,0)</f>
        <v>0</v>
      </c>
      <c r="V73" s="71" t="n">
        <f aca="false">IF(AND(M73="Yes",N73="Yes"),1,0)</f>
        <v>0</v>
      </c>
      <c r="W73" s="72" t="str">
        <f aca="false">IF(AND(G73="Maternal Health",E73="Male",D73&gt;=15),"Review","OK")</f>
        <v>OK</v>
      </c>
    </row>
    <row r="74" customFormat="false" ht="15" hidden="false" customHeight="false" outlineLevel="0" collapsed="false">
      <c r="A74" s="67" t="s">
        <v>314</v>
      </c>
      <c r="B74" s="67" t="s">
        <v>315</v>
      </c>
      <c r="C74" s="68" t="n">
        <v>46177</v>
      </c>
      <c r="D74" s="67" t="n">
        <v>44</v>
      </c>
      <c r="E74" s="67" t="s">
        <v>164</v>
      </c>
      <c r="F74" s="67" t="s">
        <v>65</v>
      </c>
      <c r="G74" s="67" t="s">
        <v>64</v>
      </c>
      <c r="H74" s="67" t="s">
        <v>64</v>
      </c>
      <c r="I74" s="67" t="s">
        <v>108</v>
      </c>
      <c r="J74" s="67" t="n">
        <v>32</v>
      </c>
      <c r="K74" s="69" t="n">
        <v>1.1</v>
      </c>
      <c r="L74" s="70" t="n">
        <v>49317</v>
      </c>
      <c r="M74" s="67" t="s">
        <v>165</v>
      </c>
      <c r="N74" s="67" t="s">
        <v>169</v>
      </c>
      <c r="O74" s="67" t="n">
        <v>4</v>
      </c>
      <c r="P74" s="67" t="s">
        <v>180</v>
      </c>
      <c r="Q74" s="71" t="n">
        <f aca="false">MONTH(C74)</f>
        <v>6</v>
      </c>
      <c r="R74" s="72" t="str">
        <f aca="false">IF(D74&lt;=14,"1–14",IF(D74&lt;=24,"15–24",IF(D74&lt;=44,"25–44",IF(D74&lt;=64,"45–64","65+"))))</f>
        <v>25–44</v>
      </c>
      <c r="S74" s="72" t="str">
        <f aca="false">IF(J74&lt;=30,"Up to 30",IF(J74&lt;=60,"31–60",IF(J74&lt;=90,"61–90","Over 90")))</f>
        <v>31–60</v>
      </c>
      <c r="T74" s="71" t="n">
        <f aca="false">IF(J74&gt;'Scenario Lab'!$C$5,1,0)</f>
        <v>0</v>
      </c>
      <c r="U74" s="71" t="n">
        <f aca="false">IF(M74="Yes",1,0)</f>
        <v>1</v>
      </c>
      <c r="V74" s="71" t="n">
        <f aca="false">IF(AND(M74="Yes",N74="Yes"),1,0)</f>
        <v>0</v>
      </c>
      <c r="W74" s="72" t="str">
        <f aca="false">IF(AND(G74="Maternal Health",E74="Male",D74&gt;=15),"Review","OK")</f>
        <v>OK</v>
      </c>
    </row>
    <row r="75" customFormat="false" ht="15" hidden="false" customHeight="false" outlineLevel="0" collapsed="false">
      <c r="A75" s="67" t="s">
        <v>316</v>
      </c>
      <c r="B75" s="67" t="s">
        <v>317</v>
      </c>
      <c r="C75" s="68" t="n">
        <v>46237</v>
      </c>
      <c r="D75" s="67" t="n">
        <v>19</v>
      </c>
      <c r="E75" s="67" t="s">
        <v>173</v>
      </c>
      <c r="F75" s="67" t="s">
        <v>65</v>
      </c>
      <c r="G75" s="67" t="s">
        <v>62</v>
      </c>
      <c r="H75" s="67" t="s">
        <v>64</v>
      </c>
      <c r="I75" s="67" t="s">
        <v>108</v>
      </c>
      <c r="J75" s="67" t="n">
        <v>58</v>
      </c>
      <c r="K75" s="69" t="n">
        <v>0.1</v>
      </c>
      <c r="L75" s="70" t="n">
        <v>56895</v>
      </c>
      <c r="M75" s="67" t="s">
        <v>165</v>
      </c>
      <c r="N75" s="67" t="s">
        <v>169</v>
      </c>
      <c r="O75" s="67" t="n">
        <v>4</v>
      </c>
      <c r="P75" s="67" t="s">
        <v>112</v>
      </c>
      <c r="Q75" s="71" t="n">
        <f aca="false">MONTH(C75)</f>
        <v>8</v>
      </c>
      <c r="R75" s="72" t="str">
        <f aca="false">IF(D75&lt;=14,"1–14",IF(D75&lt;=24,"15–24",IF(D75&lt;=44,"25–44",IF(D75&lt;=64,"45–64","65+"))))</f>
        <v>15–24</v>
      </c>
      <c r="S75" s="72" t="str">
        <f aca="false">IF(J75&lt;=30,"Up to 30",IF(J75&lt;=60,"31–60",IF(J75&lt;=90,"61–90","Over 90")))</f>
        <v>31–60</v>
      </c>
      <c r="T75" s="71" t="n">
        <f aca="false">IF(J75&gt;'Scenario Lab'!$C$5,1,0)</f>
        <v>0</v>
      </c>
      <c r="U75" s="71" t="n">
        <f aca="false">IF(M75="Yes",1,0)</f>
        <v>1</v>
      </c>
      <c r="V75" s="71" t="n">
        <f aca="false">IF(AND(M75="Yes",N75="Yes"),1,0)</f>
        <v>0</v>
      </c>
      <c r="W75" s="72" t="str">
        <f aca="false">IF(AND(G75="Maternal Health",E75="Male",D75&gt;=15),"Review","OK")</f>
        <v>Review</v>
      </c>
    </row>
    <row r="76" customFormat="false" ht="15" hidden="false" customHeight="false" outlineLevel="0" collapsed="false">
      <c r="A76" s="67" t="s">
        <v>318</v>
      </c>
      <c r="B76" s="67" t="s">
        <v>319</v>
      </c>
      <c r="C76" s="68" t="n">
        <v>46208</v>
      </c>
      <c r="D76" s="67" t="n">
        <v>38</v>
      </c>
      <c r="E76" s="67" t="s">
        <v>164</v>
      </c>
      <c r="F76" s="67" t="s">
        <v>65</v>
      </c>
      <c r="G76" s="67" t="s">
        <v>62</v>
      </c>
      <c r="H76" s="67" t="s">
        <v>112</v>
      </c>
      <c r="I76" s="67" t="s">
        <v>108</v>
      </c>
      <c r="J76" s="67" t="n">
        <v>22</v>
      </c>
      <c r="K76" s="69" t="n">
        <v>4.6</v>
      </c>
      <c r="L76" s="70" t="n">
        <v>146119</v>
      </c>
      <c r="M76" s="67" t="s">
        <v>165</v>
      </c>
      <c r="N76" s="67" t="s">
        <v>165</v>
      </c>
      <c r="O76" s="67" t="n">
        <v>5</v>
      </c>
      <c r="P76" s="67" t="s">
        <v>166</v>
      </c>
      <c r="Q76" s="71" t="n">
        <f aca="false">MONTH(C76)</f>
        <v>7</v>
      </c>
      <c r="R76" s="72" t="str">
        <f aca="false">IF(D76&lt;=14,"1–14",IF(D76&lt;=24,"15–24",IF(D76&lt;=44,"25–44",IF(D76&lt;=64,"45–64","65+"))))</f>
        <v>25–44</v>
      </c>
      <c r="S76" s="72" t="str">
        <f aca="false">IF(J76&lt;=30,"Up to 30",IF(J76&lt;=60,"31–60",IF(J76&lt;=90,"61–90","Over 90")))</f>
        <v>Up to 30</v>
      </c>
      <c r="T76" s="71" t="n">
        <f aca="false">IF(J76&gt;'Scenario Lab'!$C$5,1,0)</f>
        <v>0</v>
      </c>
      <c r="U76" s="71" t="n">
        <f aca="false">IF(M76="Yes",1,0)</f>
        <v>1</v>
      </c>
      <c r="V76" s="71" t="n">
        <f aca="false">IF(AND(M76="Yes",N76="Yes"),1,0)</f>
        <v>1</v>
      </c>
      <c r="W76" s="72" t="str">
        <f aca="false">IF(AND(G76="Maternal Health",E76="Male",D76&gt;=15),"Review","OK")</f>
        <v>OK</v>
      </c>
    </row>
    <row r="77" customFormat="false" ht="15" hidden="false" customHeight="false" outlineLevel="0" collapsed="false">
      <c r="A77" s="67" t="s">
        <v>320</v>
      </c>
      <c r="B77" s="67" t="s">
        <v>321</v>
      </c>
      <c r="C77" s="68" t="n">
        <v>46033</v>
      </c>
      <c r="D77" s="67" t="n">
        <v>26</v>
      </c>
      <c r="E77" s="67" t="s">
        <v>173</v>
      </c>
      <c r="F77" s="67" t="s">
        <v>59</v>
      </c>
      <c r="G77" s="67" t="s">
        <v>60</v>
      </c>
      <c r="H77" s="67" t="s">
        <v>64</v>
      </c>
      <c r="I77" s="67" t="s">
        <v>107</v>
      </c>
      <c r="J77" s="67" t="n">
        <v>29</v>
      </c>
      <c r="K77" s="69" t="n">
        <v>0</v>
      </c>
      <c r="L77" s="70" t="n">
        <v>62698</v>
      </c>
      <c r="M77" s="67" t="s">
        <v>169</v>
      </c>
      <c r="N77" s="67" t="s">
        <v>170</v>
      </c>
      <c r="O77" s="67" t="n">
        <v>4</v>
      </c>
      <c r="P77" s="67" t="s">
        <v>112</v>
      </c>
      <c r="Q77" s="71" t="n">
        <f aca="false">MONTH(C77)</f>
        <v>1</v>
      </c>
      <c r="R77" s="72" t="str">
        <f aca="false">IF(D77&lt;=14,"1–14",IF(D77&lt;=24,"15–24",IF(D77&lt;=44,"25–44",IF(D77&lt;=64,"45–64","65+"))))</f>
        <v>25–44</v>
      </c>
      <c r="S77" s="72" t="str">
        <f aca="false">IF(J77&lt;=30,"Up to 30",IF(J77&lt;=60,"31–60",IF(J77&lt;=90,"61–90","Over 90")))</f>
        <v>Up to 30</v>
      </c>
      <c r="T77" s="71" t="n">
        <f aca="false">IF(J77&gt;'Scenario Lab'!$C$5,1,0)</f>
        <v>0</v>
      </c>
      <c r="U77" s="71" t="n">
        <f aca="false">IF(M77="Yes",1,0)</f>
        <v>0</v>
      </c>
      <c r="V77" s="71" t="n">
        <f aca="false">IF(AND(M77="Yes",N77="Yes"),1,0)</f>
        <v>0</v>
      </c>
      <c r="W77" s="72" t="str">
        <f aca="false">IF(AND(G77="Maternal Health",E77="Male",D77&gt;=15),"Review","OK")</f>
        <v>OK</v>
      </c>
    </row>
    <row r="78" customFormat="false" ht="15" hidden="false" customHeight="false" outlineLevel="0" collapsed="false">
      <c r="A78" s="67" t="s">
        <v>322</v>
      </c>
      <c r="B78" s="67" t="s">
        <v>323</v>
      </c>
      <c r="C78" s="68" t="n">
        <v>46024</v>
      </c>
      <c r="D78" s="67" t="n">
        <v>7</v>
      </c>
      <c r="E78" s="67" t="s">
        <v>164</v>
      </c>
      <c r="F78" s="67" t="s">
        <v>59</v>
      </c>
      <c r="G78" s="67" t="s">
        <v>60</v>
      </c>
      <c r="H78" s="67" t="s">
        <v>113</v>
      </c>
      <c r="I78" s="67" t="s">
        <v>103</v>
      </c>
      <c r="J78" s="67" t="n">
        <v>89</v>
      </c>
      <c r="K78" s="69" t="n">
        <v>1.2</v>
      </c>
      <c r="L78" s="70" t="n">
        <v>74900</v>
      </c>
      <c r="M78" s="67" t="s">
        <v>169</v>
      </c>
      <c r="N78" s="67" t="s">
        <v>170</v>
      </c>
      <c r="O78" s="67" t="n">
        <v>3</v>
      </c>
      <c r="P78" s="67" t="s">
        <v>112</v>
      </c>
      <c r="Q78" s="71" t="n">
        <f aca="false">MONTH(C78)</f>
        <v>1</v>
      </c>
      <c r="R78" s="72" t="str">
        <f aca="false">IF(D78&lt;=14,"1–14",IF(D78&lt;=24,"15–24",IF(D78&lt;=44,"25–44",IF(D78&lt;=64,"45–64","65+"))))</f>
        <v>1–14</v>
      </c>
      <c r="S78" s="72" t="str">
        <f aca="false">IF(J78&lt;=30,"Up to 30",IF(J78&lt;=60,"31–60",IF(J78&lt;=90,"61–90","Over 90")))</f>
        <v>61–90</v>
      </c>
      <c r="T78" s="71" t="n">
        <f aca="false">IF(J78&gt;'Scenario Lab'!$C$5,1,0)</f>
        <v>1</v>
      </c>
      <c r="U78" s="71" t="n">
        <f aca="false">IF(M78="Yes",1,0)</f>
        <v>0</v>
      </c>
      <c r="V78" s="71" t="n">
        <f aca="false">IF(AND(M78="Yes",N78="Yes"),1,0)</f>
        <v>0</v>
      </c>
      <c r="W78" s="72" t="str">
        <f aca="false">IF(AND(G78="Maternal Health",E78="Male",D78&gt;=15),"Review","OK")</f>
        <v>OK</v>
      </c>
    </row>
    <row r="79" customFormat="false" ht="15" hidden="false" customHeight="false" outlineLevel="0" collapsed="false">
      <c r="A79" s="67" t="s">
        <v>324</v>
      </c>
      <c r="B79" s="67" t="s">
        <v>325</v>
      </c>
      <c r="C79" s="68" t="n">
        <v>46158</v>
      </c>
      <c r="D79" s="67" t="n">
        <v>9</v>
      </c>
      <c r="E79" s="67" t="s">
        <v>173</v>
      </c>
      <c r="F79" s="67" t="s">
        <v>63</v>
      </c>
      <c r="G79" s="67" t="s">
        <v>66</v>
      </c>
      <c r="H79" s="67" t="s">
        <v>64</v>
      </c>
      <c r="I79" s="67" t="s">
        <v>108</v>
      </c>
      <c r="J79" s="67" t="n">
        <v>37</v>
      </c>
      <c r="K79" s="69" t="n">
        <v>0</v>
      </c>
      <c r="L79" s="70" t="n">
        <v>31758</v>
      </c>
      <c r="M79" s="67" t="s">
        <v>169</v>
      </c>
      <c r="N79" s="67" t="s">
        <v>170</v>
      </c>
      <c r="O79" s="67" t="n">
        <v>5</v>
      </c>
      <c r="P79" s="67" t="s">
        <v>166</v>
      </c>
      <c r="Q79" s="71" t="n">
        <f aca="false">MONTH(C79)</f>
        <v>5</v>
      </c>
      <c r="R79" s="72" t="str">
        <f aca="false">IF(D79&lt;=14,"1–14",IF(D79&lt;=24,"15–24",IF(D79&lt;=44,"25–44",IF(D79&lt;=64,"45–64","65+"))))</f>
        <v>1–14</v>
      </c>
      <c r="S79" s="72" t="str">
        <f aca="false">IF(J79&lt;=30,"Up to 30",IF(J79&lt;=60,"31–60",IF(J79&lt;=90,"61–90","Over 90")))</f>
        <v>31–60</v>
      </c>
      <c r="T79" s="71" t="n">
        <f aca="false">IF(J79&gt;'Scenario Lab'!$C$5,1,0)</f>
        <v>0</v>
      </c>
      <c r="U79" s="71" t="n">
        <f aca="false">IF(M79="Yes",1,0)</f>
        <v>0</v>
      </c>
      <c r="V79" s="71" t="n">
        <f aca="false">IF(AND(M79="Yes",N79="Yes"),1,0)</f>
        <v>0</v>
      </c>
      <c r="W79" s="72" t="str">
        <f aca="false">IF(AND(G79="Maternal Health",E79="Male",D79&gt;=15),"Review","OK")</f>
        <v>OK</v>
      </c>
    </row>
    <row r="80" customFormat="false" ht="15" hidden="false" customHeight="false" outlineLevel="0" collapsed="false">
      <c r="A80" s="67" t="s">
        <v>326</v>
      </c>
      <c r="B80" s="67" t="s">
        <v>327</v>
      </c>
      <c r="C80" s="68" t="n">
        <v>46289</v>
      </c>
      <c r="D80" s="67" t="n">
        <v>34</v>
      </c>
      <c r="E80" s="67" t="s">
        <v>164</v>
      </c>
      <c r="F80" s="67" t="s">
        <v>65</v>
      </c>
      <c r="G80" s="67" t="s">
        <v>60</v>
      </c>
      <c r="H80" s="67" t="s">
        <v>64</v>
      </c>
      <c r="I80" s="67" t="s">
        <v>109</v>
      </c>
      <c r="J80" s="67" t="n">
        <v>28</v>
      </c>
      <c r="K80" s="69" t="n">
        <v>1.2</v>
      </c>
      <c r="L80" s="70" t="n">
        <v>63322</v>
      </c>
      <c r="M80" s="67" t="s">
        <v>169</v>
      </c>
      <c r="N80" s="67" t="s">
        <v>170</v>
      </c>
      <c r="O80" s="67" t="n">
        <v>5</v>
      </c>
      <c r="P80" s="67" t="s">
        <v>112</v>
      </c>
      <c r="Q80" s="71" t="n">
        <f aca="false">MONTH(C80)</f>
        <v>9</v>
      </c>
      <c r="R80" s="72" t="str">
        <f aca="false">IF(D80&lt;=14,"1–14",IF(D80&lt;=24,"15–24",IF(D80&lt;=44,"25–44",IF(D80&lt;=64,"45–64","65+"))))</f>
        <v>25–44</v>
      </c>
      <c r="S80" s="72" t="str">
        <f aca="false">IF(J80&lt;=30,"Up to 30",IF(J80&lt;=60,"31–60",IF(J80&lt;=90,"61–90","Over 90")))</f>
        <v>Up to 30</v>
      </c>
      <c r="T80" s="71" t="n">
        <f aca="false">IF(J80&gt;'Scenario Lab'!$C$5,1,0)</f>
        <v>0</v>
      </c>
      <c r="U80" s="71" t="n">
        <f aca="false">IF(M80="Yes",1,0)</f>
        <v>0</v>
      </c>
      <c r="V80" s="71" t="n">
        <f aca="false">IF(AND(M80="Yes",N80="Yes"),1,0)</f>
        <v>0</v>
      </c>
      <c r="W80" s="72" t="str">
        <f aca="false">IF(AND(G80="Maternal Health",E80="Male",D80&gt;=15),"Review","OK")</f>
        <v>OK</v>
      </c>
    </row>
    <row r="81" customFormat="false" ht="15" hidden="false" customHeight="false" outlineLevel="0" collapsed="false">
      <c r="A81" s="67" t="s">
        <v>328</v>
      </c>
      <c r="B81" s="67" t="s">
        <v>329</v>
      </c>
      <c r="C81" s="68" t="n">
        <v>46163</v>
      </c>
      <c r="D81" s="67" t="n">
        <v>8</v>
      </c>
      <c r="E81" s="67" t="s">
        <v>173</v>
      </c>
      <c r="F81" s="67" t="s">
        <v>65</v>
      </c>
      <c r="G81" s="67" t="s">
        <v>66</v>
      </c>
      <c r="H81" s="67" t="s">
        <v>112</v>
      </c>
      <c r="I81" s="67" t="s">
        <v>109</v>
      </c>
      <c r="J81" s="67" t="n">
        <v>38</v>
      </c>
      <c r="K81" s="69" t="n">
        <v>3.9</v>
      </c>
      <c r="L81" s="70" t="n">
        <v>86345</v>
      </c>
      <c r="M81" s="67" t="s">
        <v>169</v>
      </c>
      <c r="N81" s="67" t="s">
        <v>170</v>
      </c>
      <c r="O81" s="67" t="n">
        <v>5</v>
      </c>
      <c r="P81" s="67" t="s">
        <v>166</v>
      </c>
      <c r="Q81" s="71" t="n">
        <f aca="false">MONTH(C81)</f>
        <v>5</v>
      </c>
      <c r="R81" s="72" t="str">
        <f aca="false">IF(D81&lt;=14,"1–14",IF(D81&lt;=24,"15–24",IF(D81&lt;=44,"25–44",IF(D81&lt;=64,"45–64","65+"))))</f>
        <v>1–14</v>
      </c>
      <c r="S81" s="72" t="str">
        <f aca="false">IF(J81&lt;=30,"Up to 30",IF(J81&lt;=60,"31–60",IF(J81&lt;=90,"61–90","Over 90")))</f>
        <v>31–60</v>
      </c>
      <c r="T81" s="71" t="n">
        <f aca="false">IF(J81&gt;'Scenario Lab'!$C$5,1,0)</f>
        <v>0</v>
      </c>
      <c r="U81" s="71" t="n">
        <f aca="false">IF(M81="Yes",1,0)</f>
        <v>0</v>
      </c>
      <c r="V81" s="71" t="n">
        <f aca="false">IF(AND(M81="Yes",N81="Yes"),1,0)</f>
        <v>0</v>
      </c>
      <c r="W81" s="72" t="str">
        <f aca="false">IF(AND(G81="Maternal Health",E81="Male",D81&gt;=15),"Review","OK")</f>
        <v>OK</v>
      </c>
    </row>
    <row r="82" customFormat="false" ht="15" hidden="false" customHeight="false" outlineLevel="0" collapsed="false">
      <c r="A82" s="67" t="s">
        <v>330</v>
      </c>
      <c r="B82" s="67" t="s">
        <v>331</v>
      </c>
      <c r="C82" s="68" t="n">
        <v>46133</v>
      </c>
      <c r="D82" s="67" t="n">
        <v>30</v>
      </c>
      <c r="E82" s="67" t="s">
        <v>173</v>
      </c>
      <c r="F82" s="67" t="s">
        <v>65</v>
      </c>
      <c r="G82" s="67" t="s">
        <v>62</v>
      </c>
      <c r="H82" s="67" t="s">
        <v>58</v>
      </c>
      <c r="I82" s="67" t="s">
        <v>108</v>
      </c>
      <c r="J82" s="67" t="n">
        <v>42</v>
      </c>
      <c r="K82" s="69" t="n">
        <v>0.6</v>
      </c>
      <c r="L82" s="70" t="n">
        <v>82530</v>
      </c>
      <c r="M82" s="67" t="s">
        <v>169</v>
      </c>
      <c r="N82" s="67" t="s">
        <v>170</v>
      </c>
      <c r="O82" s="67" t="n">
        <v>4</v>
      </c>
      <c r="P82" s="67" t="s">
        <v>180</v>
      </c>
      <c r="Q82" s="71" t="n">
        <f aca="false">MONTH(C82)</f>
        <v>4</v>
      </c>
      <c r="R82" s="72" t="str">
        <f aca="false">IF(D82&lt;=14,"1–14",IF(D82&lt;=24,"15–24",IF(D82&lt;=44,"25–44",IF(D82&lt;=64,"45–64","65+"))))</f>
        <v>25–44</v>
      </c>
      <c r="S82" s="72" t="str">
        <f aca="false">IF(J82&lt;=30,"Up to 30",IF(J82&lt;=60,"31–60",IF(J82&lt;=90,"61–90","Over 90")))</f>
        <v>31–60</v>
      </c>
      <c r="T82" s="71" t="n">
        <f aca="false">IF(J82&gt;'Scenario Lab'!$C$5,1,0)</f>
        <v>0</v>
      </c>
      <c r="U82" s="71" t="n">
        <f aca="false">IF(M82="Yes",1,0)</f>
        <v>0</v>
      </c>
      <c r="V82" s="71" t="n">
        <f aca="false">IF(AND(M82="Yes",N82="Yes"),1,0)</f>
        <v>0</v>
      </c>
      <c r="W82" s="72" t="str">
        <f aca="false">IF(AND(G82="Maternal Health",E82="Male",D82&gt;=15),"Review","OK")</f>
        <v>Review</v>
      </c>
    </row>
    <row r="83" customFormat="false" ht="15" hidden="false" customHeight="false" outlineLevel="0" collapsed="false">
      <c r="A83" s="67" t="s">
        <v>332</v>
      </c>
      <c r="B83" s="67" t="s">
        <v>333</v>
      </c>
      <c r="C83" s="68" t="n">
        <v>46069</v>
      </c>
      <c r="D83" s="67" t="n">
        <v>60</v>
      </c>
      <c r="E83" s="67" t="s">
        <v>173</v>
      </c>
      <c r="F83" s="67" t="s">
        <v>65</v>
      </c>
      <c r="G83" s="67" t="s">
        <v>58</v>
      </c>
      <c r="H83" s="67" t="s">
        <v>58</v>
      </c>
      <c r="I83" s="67" t="s">
        <v>109</v>
      </c>
      <c r="J83" s="67" t="n">
        <v>61</v>
      </c>
      <c r="K83" s="69" t="n">
        <v>0.3</v>
      </c>
      <c r="L83" s="70" t="n">
        <v>95242</v>
      </c>
      <c r="M83" s="67" t="s">
        <v>169</v>
      </c>
      <c r="N83" s="67" t="s">
        <v>170</v>
      </c>
      <c r="O83" s="67" t="n">
        <v>5</v>
      </c>
      <c r="P83" s="67" t="s">
        <v>166</v>
      </c>
      <c r="Q83" s="71" t="n">
        <f aca="false">MONTH(C83)</f>
        <v>2</v>
      </c>
      <c r="R83" s="72" t="str">
        <f aca="false">IF(D83&lt;=14,"1–14",IF(D83&lt;=24,"15–24",IF(D83&lt;=44,"25–44",IF(D83&lt;=64,"45–64","65+"))))</f>
        <v>45–64</v>
      </c>
      <c r="S83" s="72" t="str">
        <f aca="false">IF(J83&lt;=30,"Up to 30",IF(J83&lt;=60,"31–60",IF(J83&lt;=90,"61–90","Over 90")))</f>
        <v>61–90</v>
      </c>
      <c r="T83" s="71" t="n">
        <f aca="false">IF(J83&gt;'Scenario Lab'!$C$5,1,0)</f>
        <v>1</v>
      </c>
      <c r="U83" s="71" t="n">
        <f aca="false">IF(M83="Yes",1,0)</f>
        <v>0</v>
      </c>
      <c r="V83" s="71" t="n">
        <f aca="false">IF(AND(M83="Yes",N83="Yes"),1,0)</f>
        <v>0</v>
      </c>
      <c r="W83" s="72" t="str">
        <f aca="false">IF(AND(G83="Maternal Health",E83="Male",D83&gt;=15),"Review","OK")</f>
        <v>OK</v>
      </c>
    </row>
    <row r="84" customFormat="false" ht="15" hidden="false" customHeight="false" outlineLevel="0" collapsed="false">
      <c r="A84" s="67" t="s">
        <v>334</v>
      </c>
      <c r="B84" s="67" t="s">
        <v>335</v>
      </c>
      <c r="C84" s="68" t="n">
        <v>46049</v>
      </c>
      <c r="D84" s="67" t="n">
        <v>43</v>
      </c>
      <c r="E84" s="67" t="s">
        <v>173</v>
      </c>
      <c r="F84" s="67" t="s">
        <v>63</v>
      </c>
      <c r="G84" s="67" t="s">
        <v>64</v>
      </c>
      <c r="H84" s="67" t="s">
        <v>58</v>
      </c>
      <c r="I84" s="67" t="s">
        <v>103</v>
      </c>
      <c r="J84" s="67" t="n">
        <v>38</v>
      </c>
      <c r="K84" s="69" t="n">
        <v>1.1</v>
      </c>
      <c r="L84" s="70" t="n">
        <v>42738</v>
      </c>
      <c r="M84" s="67" t="s">
        <v>165</v>
      </c>
      <c r="N84" s="67" t="s">
        <v>165</v>
      </c>
      <c r="O84" s="67" t="n">
        <v>5</v>
      </c>
      <c r="P84" s="67" t="s">
        <v>112</v>
      </c>
      <c r="Q84" s="71" t="n">
        <f aca="false">MONTH(C84)</f>
        <v>1</v>
      </c>
      <c r="R84" s="72" t="str">
        <f aca="false">IF(D84&lt;=14,"1–14",IF(D84&lt;=24,"15–24",IF(D84&lt;=44,"25–44",IF(D84&lt;=64,"45–64","65+"))))</f>
        <v>25–44</v>
      </c>
      <c r="S84" s="72" t="str">
        <f aca="false">IF(J84&lt;=30,"Up to 30",IF(J84&lt;=60,"31–60",IF(J84&lt;=90,"61–90","Over 90")))</f>
        <v>31–60</v>
      </c>
      <c r="T84" s="71" t="n">
        <f aca="false">IF(J84&gt;'Scenario Lab'!$C$5,1,0)</f>
        <v>0</v>
      </c>
      <c r="U84" s="71" t="n">
        <f aca="false">IF(M84="Yes",1,0)</f>
        <v>1</v>
      </c>
      <c r="V84" s="71" t="n">
        <f aca="false">IF(AND(M84="Yes",N84="Yes"),1,0)</f>
        <v>1</v>
      </c>
      <c r="W84" s="72" t="str">
        <f aca="false">IF(AND(G84="Maternal Health",E84="Male",D84&gt;=15),"Review","OK")</f>
        <v>OK</v>
      </c>
    </row>
    <row r="85" customFormat="false" ht="15" hidden="false" customHeight="false" outlineLevel="0" collapsed="false">
      <c r="A85" s="67" t="s">
        <v>336</v>
      </c>
      <c r="B85" s="67" t="s">
        <v>337</v>
      </c>
      <c r="C85" s="68" t="n">
        <v>46242</v>
      </c>
      <c r="D85" s="67" t="n">
        <v>21</v>
      </c>
      <c r="E85" s="67" t="s">
        <v>164</v>
      </c>
      <c r="F85" s="67" t="s">
        <v>63</v>
      </c>
      <c r="G85" s="67" t="s">
        <v>64</v>
      </c>
      <c r="H85" s="67" t="s">
        <v>112</v>
      </c>
      <c r="I85" s="67" t="s">
        <v>107</v>
      </c>
      <c r="J85" s="67" t="n">
        <v>26</v>
      </c>
      <c r="K85" s="69" t="n">
        <v>0</v>
      </c>
      <c r="L85" s="70" t="n">
        <v>39157</v>
      </c>
      <c r="M85" s="67" t="s">
        <v>169</v>
      </c>
      <c r="N85" s="67" t="s">
        <v>170</v>
      </c>
      <c r="O85" s="67" t="n">
        <v>4</v>
      </c>
      <c r="P85" s="67" t="s">
        <v>112</v>
      </c>
      <c r="Q85" s="71" t="n">
        <f aca="false">MONTH(C85)</f>
        <v>8</v>
      </c>
      <c r="R85" s="72" t="str">
        <f aca="false">IF(D85&lt;=14,"1–14",IF(D85&lt;=24,"15–24",IF(D85&lt;=44,"25–44",IF(D85&lt;=64,"45–64","65+"))))</f>
        <v>15–24</v>
      </c>
      <c r="S85" s="72" t="str">
        <f aca="false">IF(J85&lt;=30,"Up to 30",IF(J85&lt;=60,"31–60",IF(J85&lt;=90,"61–90","Over 90")))</f>
        <v>Up to 30</v>
      </c>
      <c r="T85" s="71" t="n">
        <f aca="false">IF(J85&gt;'Scenario Lab'!$C$5,1,0)</f>
        <v>0</v>
      </c>
      <c r="U85" s="71" t="n">
        <f aca="false">IF(M85="Yes",1,0)</f>
        <v>0</v>
      </c>
      <c r="V85" s="71" t="n">
        <f aca="false">IF(AND(M85="Yes",N85="Yes"),1,0)</f>
        <v>0</v>
      </c>
      <c r="W85" s="72" t="str">
        <f aca="false">IF(AND(G85="Maternal Health",E85="Male",D85&gt;=15),"Review","OK")</f>
        <v>OK</v>
      </c>
    </row>
    <row r="86" customFormat="false" ht="15" hidden="false" customHeight="false" outlineLevel="0" collapsed="false">
      <c r="A86" s="67" t="s">
        <v>338</v>
      </c>
      <c r="B86" s="67" t="s">
        <v>339</v>
      </c>
      <c r="C86" s="68" t="n">
        <v>46096</v>
      </c>
      <c r="D86" s="67" t="n">
        <v>70</v>
      </c>
      <c r="E86" s="67" t="s">
        <v>164</v>
      </c>
      <c r="F86" s="67" t="s">
        <v>67</v>
      </c>
      <c r="G86" s="67" t="s">
        <v>64</v>
      </c>
      <c r="H86" s="67" t="s">
        <v>113</v>
      </c>
      <c r="I86" s="67" t="s">
        <v>106</v>
      </c>
      <c r="J86" s="67" t="n">
        <v>30</v>
      </c>
      <c r="K86" s="69" t="n">
        <v>0.2</v>
      </c>
      <c r="L86" s="70" t="n">
        <v>41828</v>
      </c>
      <c r="M86" s="67" t="s">
        <v>165</v>
      </c>
      <c r="N86" s="67" t="s">
        <v>165</v>
      </c>
      <c r="O86" s="67" t="n">
        <v>5</v>
      </c>
      <c r="P86" s="67" t="s">
        <v>166</v>
      </c>
      <c r="Q86" s="71" t="n">
        <f aca="false">MONTH(C86)</f>
        <v>3</v>
      </c>
      <c r="R86" s="72" t="str">
        <f aca="false">IF(D86&lt;=14,"1–14",IF(D86&lt;=24,"15–24",IF(D86&lt;=44,"25–44",IF(D86&lt;=64,"45–64","65+"))))</f>
        <v>65+</v>
      </c>
      <c r="S86" s="72" t="str">
        <f aca="false">IF(J86&lt;=30,"Up to 30",IF(J86&lt;=60,"31–60",IF(J86&lt;=90,"61–90","Over 90")))</f>
        <v>Up to 30</v>
      </c>
      <c r="T86" s="71" t="n">
        <f aca="false">IF(J86&gt;'Scenario Lab'!$C$5,1,0)</f>
        <v>0</v>
      </c>
      <c r="U86" s="71" t="n">
        <f aca="false">IF(M86="Yes",1,0)</f>
        <v>1</v>
      </c>
      <c r="V86" s="71" t="n">
        <f aca="false">IF(AND(M86="Yes",N86="Yes"),1,0)</f>
        <v>1</v>
      </c>
      <c r="W86" s="72" t="str">
        <f aca="false">IF(AND(G86="Maternal Health",E86="Male",D86&gt;=15),"Review","OK")</f>
        <v>OK</v>
      </c>
    </row>
    <row r="87" customFormat="false" ht="15" hidden="false" customHeight="false" outlineLevel="0" collapsed="false">
      <c r="A87" s="67" t="s">
        <v>340</v>
      </c>
      <c r="B87" s="67" t="s">
        <v>341</v>
      </c>
      <c r="C87" s="68" t="n">
        <v>46066</v>
      </c>
      <c r="D87" s="67" t="n">
        <v>38</v>
      </c>
      <c r="E87" s="67" t="s">
        <v>164</v>
      </c>
      <c r="F87" s="67" t="s">
        <v>59</v>
      </c>
      <c r="G87" s="67" t="s">
        <v>62</v>
      </c>
      <c r="H87" s="67" t="s">
        <v>112</v>
      </c>
      <c r="I87" s="67" t="s">
        <v>108</v>
      </c>
      <c r="J87" s="67" t="n">
        <v>60</v>
      </c>
      <c r="K87" s="69" t="n">
        <v>0</v>
      </c>
      <c r="L87" s="70" t="n">
        <v>57684</v>
      </c>
      <c r="M87" s="67" t="s">
        <v>165</v>
      </c>
      <c r="N87" s="67" t="s">
        <v>169</v>
      </c>
      <c r="O87" s="67" t="n">
        <v>4</v>
      </c>
      <c r="P87" s="67" t="s">
        <v>112</v>
      </c>
      <c r="Q87" s="71" t="n">
        <f aca="false">MONTH(C87)</f>
        <v>2</v>
      </c>
      <c r="R87" s="72" t="str">
        <f aca="false">IF(D87&lt;=14,"1–14",IF(D87&lt;=24,"15–24",IF(D87&lt;=44,"25–44",IF(D87&lt;=64,"45–64","65+"))))</f>
        <v>25–44</v>
      </c>
      <c r="S87" s="72" t="str">
        <f aca="false">IF(J87&lt;=30,"Up to 30",IF(J87&lt;=60,"31–60",IF(J87&lt;=90,"61–90","Over 90")))</f>
        <v>31–60</v>
      </c>
      <c r="T87" s="71" t="n">
        <f aca="false">IF(J87&gt;'Scenario Lab'!$C$5,1,0)</f>
        <v>0</v>
      </c>
      <c r="U87" s="71" t="n">
        <f aca="false">IF(M87="Yes",1,0)</f>
        <v>1</v>
      </c>
      <c r="V87" s="71" t="n">
        <f aca="false">IF(AND(M87="Yes",N87="Yes"),1,0)</f>
        <v>0</v>
      </c>
      <c r="W87" s="72" t="str">
        <f aca="false">IF(AND(G87="Maternal Health",E87="Male",D87&gt;=15),"Review","OK")</f>
        <v>OK</v>
      </c>
    </row>
    <row r="88" customFormat="false" ht="15" hidden="false" customHeight="false" outlineLevel="0" collapsed="false">
      <c r="A88" s="67" t="s">
        <v>342</v>
      </c>
      <c r="B88" s="67" t="s">
        <v>343</v>
      </c>
      <c r="C88" s="68" t="n">
        <v>46243</v>
      </c>
      <c r="D88" s="67" t="n">
        <v>53</v>
      </c>
      <c r="E88" s="67" t="s">
        <v>164</v>
      </c>
      <c r="F88" s="67" t="s">
        <v>59</v>
      </c>
      <c r="G88" s="67" t="s">
        <v>64</v>
      </c>
      <c r="H88" s="67" t="s">
        <v>64</v>
      </c>
      <c r="I88" s="67" t="s">
        <v>104</v>
      </c>
      <c r="J88" s="67" t="n">
        <v>57</v>
      </c>
      <c r="K88" s="69" t="n">
        <v>0.8</v>
      </c>
      <c r="L88" s="70" t="n">
        <v>36252</v>
      </c>
      <c r="M88" s="67" t="s">
        <v>169</v>
      </c>
      <c r="N88" s="67" t="s">
        <v>170</v>
      </c>
      <c r="O88" s="67" t="n">
        <v>4</v>
      </c>
      <c r="P88" s="67" t="s">
        <v>166</v>
      </c>
      <c r="Q88" s="71" t="n">
        <f aca="false">MONTH(C88)</f>
        <v>8</v>
      </c>
      <c r="R88" s="72" t="str">
        <f aca="false">IF(D88&lt;=14,"1–14",IF(D88&lt;=24,"15–24",IF(D88&lt;=44,"25–44",IF(D88&lt;=64,"45–64","65+"))))</f>
        <v>45–64</v>
      </c>
      <c r="S88" s="72" t="str">
        <f aca="false">IF(J88&lt;=30,"Up to 30",IF(J88&lt;=60,"31–60",IF(J88&lt;=90,"61–90","Over 90")))</f>
        <v>31–60</v>
      </c>
      <c r="T88" s="71" t="n">
        <f aca="false">IF(J88&gt;'Scenario Lab'!$C$5,1,0)</f>
        <v>0</v>
      </c>
      <c r="U88" s="71" t="n">
        <f aca="false">IF(M88="Yes",1,0)</f>
        <v>0</v>
      </c>
      <c r="V88" s="71" t="n">
        <f aca="false">IF(AND(M88="Yes",N88="Yes"),1,0)</f>
        <v>0</v>
      </c>
      <c r="W88" s="72" t="str">
        <f aca="false">IF(AND(G88="Maternal Health",E88="Male",D88&gt;=15),"Review","OK")</f>
        <v>OK</v>
      </c>
    </row>
    <row r="89" customFormat="false" ht="15" hidden="false" customHeight="false" outlineLevel="0" collapsed="false">
      <c r="A89" s="67" t="s">
        <v>344</v>
      </c>
      <c r="B89" s="67" t="s">
        <v>345</v>
      </c>
      <c r="C89" s="68" t="n">
        <v>46171</v>
      </c>
      <c r="D89" s="67" t="n">
        <v>24</v>
      </c>
      <c r="E89" s="67" t="s">
        <v>173</v>
      </c>
      <c r="F89" s="67" t="s">
        <v>59</v>
      </c>
      <c r="G89" s="67" t="s">
        <v>60</v>
      </c>
      <c r="H89" s="67" t="s">
        <v>64</v>
      </c>
      <c r="I89" s="67" t="s">
        <v>108</v>
      </c>
      <c r="J89" s="67" t="n">
        <v>28</v>
      </c>
      <c r="K89" s="69" t="n">
        <v>0</v>
      </c>
      <c r="L89" s="70" t="n">
        <v>63240</v>
      </c>
      <c r="M89" s="67" t="s">
        <v>169</v>
      </c>
      <c r="N89" s="67" t="s">
        <v>170</v>
      </c>
      <c r="O89" s="67" t="n">
        <v>5</v>
      </c>
      <c r="P89" s="67" t="s">
        <v>112</v>
      </c>
      <c r="Q89" s="71" t="n">
        <f aca="false">MONTH(C89)</f>
        <v>5</v>
      </c>
      <c r="R89" s="72" t="str">
        <f aca="false">IF(D89&lt;=14,"1–14",IF(D89&lt;=24,"15–24",IF(D89&lt;=44,"25–44",IF(D89&lt;=64,"45–64","65+"))))</f>
        <v>15–24</v>
      </c>
      <c r="S89" s="72" t="str">
        <f aca="false">IF(J89&lt;=30,"Up to 30",IF(J89&lt;=60,"31–60",IF(J89&lt;=90,"61–90","Over 90")))</f>
        <v>Up to 30</v>
      </c>
      <c r="T89" s="71" t="n">
        <f aca="false">IF(J89&gt;'Scenario Lab'!$C$5,1,0)</f>
        <v>0</v>
      </c>
      <c r="U89" s="71" t="n">
        <f aca="false">IF(M89="Yes",1,0)</f>
        <v>0</v>
      </c>
      <c r="V89" s="71" t="n">
        <f aca="false">IF(AND(M89="Yes",N89="Yes"),1,0)</f>
        <v>0</v>
      </c>
      <c r="W89" s="72" t="str">
        <f aca="false">IF(AND(G89="Maternal Health",E89="Male",D89&gt;=15),"Review","OK")</f>
        <v>OK</v>
      </c>
    </row>
    <row r="90" customFormat="false" ht="15" hidden="false" customHeight="false" outlineLevel="0" collapsed="false">
      <c r="A90" s="67" t="s">
        <v>346</v>
      </c>
      <c r="B90" s="67" t="s">
        <v>347</v>
      </c>
      <c r="C90" s="68" t="n">
        <v>46258</v>
      </c>
      <c r="D90" s="67" t="n">
        <v>3</v>
      </c>
      <c r="E90" s="67" t="s">
        <v>164</v>
      </c>
      <c r="F90" s="67" t="s">
        <v>65</v>
      </c>
      <c r="G90" s="67" t="s">
        <v>66</v>
      </c>
      <c r="H90" s="67" t="s">
        <v>58</v>
      </c>
      <c r="I90" s="67" t="s">
        <v>107</v>
      </c>
      <c r="J90" s="67" t="n">
        <v>43</v>
      </c>
      <c r="K90" s="69" t="n">
        <v>1.1</v>
      </c>
      <c r="L90" s="70" t="n">
        <v>49294</v>
      </c>
      <c r="M90" s="67" t="s">
        <v>165</v>
      </c>
      <c r="N90" s="67" t="s">
        <v>169</v>
      </c>
      <c r="O90" s="67" t="n">
        <v>4</v>
      </c>
      <c r="P90" s="67" t="s">
        <v>166</v>
      </c>
      <c r="Q90" s="71" t="n">
        <f aca="false">MONTH(C90)</f>
        <v>8</v>
      </c>
      <c r="R90" s="72" t="str">
        <f aca="false">IF(D90&lt;=14,"1–14",IF(D90&lt;=24,"15–24",IF(D90&lt;=44,"25–44",IF(D90&lt;=64,"45–64","65+"))))</f>
        <v>1–14</v>
      </c>
      <c r="S90" s="72" t="str">
        <f aca="false">IF(J90&lt;=30,"Up to 30",IF(J90&lt;=60,"31–60",IF(J90&lt;=90,"61–90","Over 90")))</f>
        <v>31–60</v>
      </c>
      <c r="T90" s="71" t="n">
        <f aca="false">IF(J90&gt;'Scenario Lab'!$C$5,1,0)</f>
        <v>0</v>
      </c>
      <c r="U90" s="71" t="n">
        <f aca="false">IF(M90="Yes",1,0)</f>
        <v>1</v>
      </c>
      <c r="V90" s="71" t="n">
        <f aca="false">IF(AND(M90="Yes",N90="Yes"),1,0)</f>
        <v>0</v>
      </c>
      <c r="W90" s="72" t="str">
        <f aca="false">IF(AND(G90="Maternal Health",E90="Male",D90&gt;=15),"Review","OK")</f>
        <v>OK</v>
      </c>
    </row>
    <row r="91" customFormat="false" ht="15" hidden="false" customHeight="false" outlineLevel="0" collapsed="false">
      <c r="A91" s="67" t="s">
        <v>348</v>
      </c>
      <c r="B91" s="67" t="s">
        <v>349</v>
      </c>
      <c r="C91" s="68" t="n">
        <v>46246</v>
      </c>
      <c r="D91" s="67" t="n">
        <v>52</v>
      </c>
      <c r="E91" s="67" t="s">
        <v>173</v>
      </c>
      <c r="F91" s="67" t="s">
        <v>65</v>
      </c>
      <c r="G91" s="67" t="s">
        <v>64</v>
      </c>
      <c r="H91" s="67" t="s">
        <v>64</v>
      </c>
      <c r="I91" s="67" t="s">
        <v>109</v>
      </c>
      <c r="J91" s="67" t="n">
        <v>19</v>
      </c>
      <c r="K91" s="69" t="n">
        <v>5.7</v>
      </c>
      <c r="L91" s="70" t="n">
        <v>93690</v>
      </c>
      <c r="M91" s="67" t="s">
        <v>165</v>
      </c>
      <c r="N91" s="67" t="s">
        <v>165</v>
      </c>
      <c r="O91" s="67" t="n">
        <v>5</v>
      </c>
      <c r="P91" s="67" t="s">
        <v>166</v>
      </c>
      <c r="Q91" s="71" t="n">
        <f aca="false">MONTH(C91)</f>
        <v>8</v>
      </c>
      <c r="R91" s="72" t="str">
        <f aca="false">IF(D91&lt;=14,"1–14",IF(D91&lt;=24,"15–24",IF(D91&lt;=44,"25–44",IF(D91&lt;=64,"45–64","65+"))))</f>
        <v>45–64</v>
      </c>
      <c r="S91" s="72" t="str">
        <f aca="false">IF(J91&lt;=30,"Up to 30",IF(J91&lt;=60,"31–60",IF(J91&lt;=90,"61–90","Over 90")))</f>
        <v>Up to 30</v>
      </c>
      <c r="T91" s="71" t="n">
        <f aca="false">IF(J91&gt;'Scenario Lab'!$C$5,1,0)</f>
        <v>0</v>
      </c>
      <c r="U91" s="71" t="n">
        <f aca="false">IF(M91="Yes",1,0)</f>
        <v>1</v>
      </c>
      <c r="V91" s="71" t="n">
        <f aca="false">IF(AND(M91="Yes",N91="Yes"),1,0)</f>
        <v>1</v>
      </c>
      <c r="W91" s="72" t="str">
        <f aca="false">IF(AND(G91="Maternal Health",E91="Male",D91&gt;=15),"Review","OK")</f>
        <v>OK</v>
      </c>
    </row>
    <row r="92" customFormat="false" ht="15" hidden="false" customHeight="false" outlineLevel="0" collapsed="false">
      <c r="A92" s="67" t="s">
        <v>350</v>
      </c>
      <c r="B92" s="67" t="s">
        <v>351</v>
      </c>
      <c r="C92" s="68" t="n">
        <v>46122</v>
      </c>
      <c r="D92" s="67" t="n">
        <v>37</v>
      </c>
      <c r="E92" s="67" t="s">
        <v>164</v>
      </c>
      <c r="F92" s="67" t="s">
        <v>65</v>
      </c>
      <c r="G92" s="67" t="s">
        <v>64</v>
      </c>
      <c r="H92" s="67" t="s">
        <v>113</v>
      </c>
      <c r="I92" s="67" t="s">
        <v>104</v>
      </c>
      <c r="J92" s="67" t="n">
        <v>56</v>
      </c>
      <c r="K92" s="69" t="n">
        <v>0.1</v>
      </c>
      <c r="L92" s="70" t="n">
        <v>36433</v>
      </c>
      <c r="M92" s="67" t="s">
        <v>169</v>
      </c>
      <c r="N92" s="67" t="s">
        <v>170</v>
      </c>
      <c r="O92" s="67" t="n">
        <v>4</v>
      </c>
      <c r="P92" s="67" t="s">
        <v>166</v>
      </c>
      <c r="Q92" s="71" t="n">
        <f aca="false">MONTH(C92)</f>
        <v>4</v>
      </c>
      <c r="R92" s="72" t="str">
        <f aca="false">IF(D92&lt;=14,"1–14",IF(D92&lt;=24,"15–24",IF(D92&lt;=44,"25–44",IF(D92&lt;=64,"45–64","65+"))))</f>
        <v>25–44</v>
      </c>
      <c r="S92" s="72" t="str">
        <f aca="false">IF(J92&lt;=30,"Up to 30",IF(J92&lt;=60,"31–60",IF(J92&lt;=90,"61–90","Over 90")))</f>
        <v>31–60</v>
      </c>
      <c r="T92" s="71" t="n">
        <f aca="false">IF(J92&gt;'Scenario Lab'!$C$5,1,0)</f>
        <v>0</v>
      </c>
      <c r="U92" s="71" t="n">
        <f aca="false">IF(M92="Yes",1,0)</f>
        <v>0</v>
      </c>
      <c r="V92" s="71" t="n">
        <f aca="false">IF(AND(M92="Yes",N92="Yes"),1,0)</f>
        <v>0</v>
      </c>
      <c r="W92" s="72" t="str">
        <f aca="false">IF(AND(G92="Maternal Health",E92="Male",D92&gt;=15),"Review","OK")</f>
        <v>OK</v>
      </c>
    </row>
    <row r="93" customFormat="false" ht="15" hidden="false" customHeight="false" outlineLevel="0" collapsed="false">
      <c r="A93" s="67" t="s">
        <v>352</v>
      </c>
      <c r="B93" s="67" t="s">
        <v>353</v>
      </c>
      <c r="C93" s="68" t="n">
        <v>46260</v>
      </c>
      <c r="D93" s="67" t="n">
        <v>18</v>
      </c>
      <c r="E93" s="67" t="s">
        <v>164</v>
      </c>
      <c r="F93" s="67" t="s">
        <v>63</v>
      </c>
      <c r="G93" s="67" t="s">
        <v>64</v>
      </c>
      <c r="H93" s="67" t="s">
        <v>64</v>
      </c>
      <c r="I93" s="67" t="s">
        <v>109</v>
      </c>
      <c r="J93" s="67" t="n">
        <v>55</v>
      </c>
      <c r="K93" s="69" t="n">
        <v>0</v>
      </c>
      <c r="L93" s="70" t="n">
        <v>42446</v>
      </c>
      <c r="M93" s="67" t="s">
        <v>165</v>
      </c>
      <c r="N93" s="67" t="s">
        <v>169</v>
      </c>
      <c r="O93" s="67" t="n">
        <v>5</v>
      </c>
      <c r="P93" s="67" t="s">
        <v>112</v>
      </c>
      <c r="Q93" s="71" t="n">
        <f aca="false">MONTH(C93)</f>
        <v>8</v>
      </c>
      <c r="R93" s="72" t="str">
        <f aca="false">IF(D93&lt;=14,"1–14",IF(D93&lt;=24,"15–24",IF(D93&lt;=44,"25–44",IF(D93&lt;=64,"45–64","65+"))))</f>
        <v>15–24</v>
      </c>
      <c r="S93" s="72" t="str">
        <f aca="false">IF(J93&lt;=30,"Up to 30",IF(J93&lt;=60,"31–60",IF(J93&lt;=90,"61–90","Over 90")))</f>
        <v>31–60</v>
      </c>
      <c r="T93" s="71" t="n">
        <f aca="false">IF(J93&gt;'Scenario Lab'!$C$5,1,0)</f>
        <v>0</v>
      </c>
      <c r="U93" s="71" t="n">
        <f aca="false">IF(M93="Yes",1,0)</f>
        <v>1</v>
      </c>
      <c r="V93" s="71" t="n">
        <f aca="false">IF(AND(M93="Yes",N93="Yes"),1,0)</f>
        <v>0</v>
      </c>
      <c r="W93" s="72" t="str">
        <f aca="false">IF(AND(G93="Maternal Health",E93="Male",D93&gt;=15),"Review","OK")</f>
        <v>OK</v>
      </c>
    </row>
    <row r="94" customFormat="false" ht="15" hidden="false" customHeight="false" outlineLevel="0" collapsed="false">
      <c r="A94" s="67" t="s">
        <v>354</v>
      </c>
      <c r="B94" s="67" t="s">
        <v>355</v>
      </c>
      <c r="C94" s="68" t="n">
        <v>46254</v>
      </c>
      <c r="D94" s="67" t="n">
        <v>74</v>
      </c>
      <c r="E94" s="67" t="s">
        <v>173</v>
      </c>
      <c r="F94" s="67" t="s">
        <v>61</v>
      </c>
      <c r="G94" s="67" t="s">
        <v>68</v>
      </c>
      <c r="H94" s="67" t="s">
        <v>64</v>
      </c>
      <c r="I94" s="67" t="s">
        <v>107</v>
      </c>
      <c r="J94" s="67" t="n">
        <v>47</v>
      </c>
      <c r="K94" s="69" t="n">
        <v>0.7</v>
      </c>
      <c r="L94" s="70" t="n">
        <v>201159</v>
      </c>
      <c r="M94" s="67" t="s">
        <v>165</v>
      </c>
      <c r="N94" s="67" t="s">
        <v>165</v>
      </c>
      <c r="O94" s="67" t="n">
        <v>5</v>
      </c>
      <c r="P94" s="67" t="s">
        <v>166</v>
      </c>
      <c r="Q94" s="71" t="n">
        <f aca="false">MONTH(C94)</f>
        <v>8</v>
      </c>
      <c r="R94" s="72" t="str">
        <f aca="false">IF(D94&lt;=14,"1–14",IF(D94&lt;=24,"15–24",IF(D94&lt;=44,"25–44",IF(D94&lt;=64,"45–64","65+"))))</f>
        <v>65+</v>
      </c>
      <c r="S94" s="72" t="str">
        <f aca="false">IF(J94&lt;=30,"Up to 30",IF(J94&lt;=60,"31–60",IF(J94&lt;=90,"61–90","Over 90")))</f>
        <v>31–60</v>
      </c>
      <c r="T94" s="71" t="n">
        <f aca="false">IF(J94&gt;'Scenario Lab'!$C$5,1,0)</f>
        <v>0</v>
      </c>
      <c r="U94" s="71" t="n">
        <f aca="false">IF(M94="Yes",1,0)</f>
        <v>1</v>
      </c>
      <c r="V94" s="71" t="n">
        <f aca="false">IF(AND(M94="Yes",N94="Yes"),1,0)</f>
        <v>1</v>
      </c>
      <c r="W94" s="72" t="str">
        <f aca="false">IF(AND(G94="Maternal Health",E94="Male",D94&gt;=15),"Review","OK")</f>
        <v>OK</v>
      </c>
    </row>
    <row r="95" customFormat="false" ht="15" hidden="false" customHeight="false" outlineLevel="0" collapsed="false">
      <c r="A95" s="67" t="s">
        <v>356</v>
      </c>
      <c r="B95" s="67" t="s">
        <v>357</v>
      </c>
      <c r="C95" s="68" t="n">
        <v>46119</v>
      </c>
      <c r="D95" s="67" t="n">
        <v>25</v>
      </c>
      <c r="E95" s="67" t="s">
        <v>164</v>
      </c>
      <c r="F95" s="67" t="s">
        <v>67</v>
      </c>
      <c r="G95" s="67" t="s">
        <v>60</v>
      </c>
      <c r="H95" s="67" t="s">
        <v>58</v>
      </c>
      <c r="I95" s="67" t="s">
        <v>109</v>
      </c>
      <c r="J95" s="67" t="n">
        <v>57</v>
      </c>
      <c r="K95" s="69" t="n">
        <v>1.2</v>
      </c>
      <c r="L95" s="70" t="n">
        <v>90515</v>
      </c>
      <c r="M95" s="67" t="s">
        <v>165</v>
      </c>
      <c r="N95" s="67" t="s">
        <v>169</v>
      </c>
      <c r="O95" s="67" t="n">
        <v>4</v>
      </c>
      <c r="P95" s="67" t="s">
        <v>112</v>
      </c>
      <c r="Q95" s="71" t="n">
        <f aca="false">MONTH(C95)</f>
        <v>4</v>
      </c>
      <c r="R95" s="72" t="str">
        <f aca="false">IF(D95&lt;=14,"1–14",IF(D95&lt;=24,"15–24",IF(D95&lt;=44,"25–44",IF(D95&lt;=64,"45–64","65+"))))</f>
        <v>25–44</v>
      </c>
      <c r="S95" s="72" t="str">
        <f aca="false">IF(J95&lt;=30,"Up to 30",IF(J95&lt;=60,"31–60",IF(J95&lt;=90,"61–90","Over 90")))</f>
        <v>31–60</v>
      </c>
      <c r="T95" s="71" t="n">
        <f aca="false">IF(J95&gt;'Scenario Lab'!$C$5,1,0)</f>
        <v>0</v>
      </c>
      <c r="U95" s="71" t="n">
        <f aca="false">IF(M95="Yes",1,0)</f>
        <v>1</v>
      </c>
      <c r="V95" s="71" t="n">
        <f aca="false">IF(AND(M95="Yes",N95="Yes"),1,0)</f>
        <v>0</v>
      </c>
      <c r="W95" s="72" t="str">
        <f aca="false">IF(AND(G95="Maternal Health",E95="Male",D95&gt;=15),"Review","OK")</f>
        <v>OK</v>
      </c>
    </row>
    <row r="96" customFormat="false" ht="15" hidden="false" customHeight="false" outlineLevel="0" collapsed="false">
      <c r="A96" s="67" t="s">
        <v>358</v>
      </c>
      <c r="B96" s="67" t="s">
        <v>359</v>
      </c>
      <c r="C96" s="68" t="n">
        <v>46291</v>
      </c>
      <c r="D96" s="67" t="n">
        <v>1</v>
      </c>
      <c r="E96" s="67" t="s">
        <v>173</v>
      </c>
      <c r="F96" s="67" t="s">
        <v>59</v>
      </c>
      <c r="G96" s="67" t="s">
        <v>66</v>
      </c>
      <c r="H96" s="67" t="s">
        <v>113</v>
      </c>
      <c r="I96" s="67" t="s">
        <v>108</v>
      </c>
      <c r="J96" s="67" t="n">
        <v>43</v>
      </c>
      <c r="K96" s="69" t="n">
        <v>6.9</v>
      </c>
      <c r="L96" s="70" t="n">
        <v>125942</v>
      </c>
      <c r="M96" s="67" t="s">
        <v>165</v>
      </c>
      <c r="N96" s="67" t="s">
        <v>165</v>
      </c>
      <c r="O96" s="67" t="n">
        <v>5</v>
      </c>
      <c r="P96" s="67" t="s">
        <v>285</v>
      </c>
      <c r="Q96" s="71" t="n">
        <f aca="false">MONTH(C96)</f>
        <v>9</v>
      </c>
      <c r="R96" s="72" t="str">
        <f aca="false">IF(D96&lt;=14,"1–14",IF(D96&lt;=24,"15–24",IF(D96&lt;=44,"25–44",IF(D96&lt;=64,"45–64","65+"))))</f>
        <v>1–14</v>
      </c>
      <c r="S96" s="72" t="str">
        <f aca="false">IF(J96&lt;=30,"Up to 30",IF(J96&lt;=60,"31–60",IF(J96&lt;=90,"61–90","Over 90")))</f>
        <v>31–60</v>
      </c>
      <c r="T96" s="71" t="n">
        <f aca="false">IF(J96&gt;'Scenario Lab'!$C$5,1,0)</f>
        <v>0</v>
      </c>
      <c r="U96" s="71" t="n">
        <f aca="false">IF(M96="Yes",1,0)</f>
        <v>1</v>
      </c>
      <c r="V96" s="71" t="n">
        <f aca="false">IF(AND(M96="Yes",N96="Yes"),1,0)</f>
        <v>1</v>
      </c>
      <c r="W96" s="72" t="str">
        <f aca="false">IF(AND(G96="Maternal Health",E96="Male",D96&gt;=15),"Review","OK")</f>
        <v>OK</v>
      </c>
    </row>
    <row r="97" customFormat="false" ht="15" hidden="false" customHeight="false" outlineLevel="0" collapsed="false">
      <c r="A97" s="67" t="s">
        <v>360</v>
      </c>
      <c r="B97" s="67" t="s">
        <v>361</v>
      </c>
      <c r="C97" s="68" t="n">
        <v>46152</v>
      </c>
      <c r="D97" s="67" t="n">
        <v>38</v>
      </c>
      <c r="E97" s="67" t="s">
        <v>173</v>
      </c>
      <c r="F97" s="67" t="s">
        <v>65</v>
      </c>
      <c r="G97" s="67" t="s">
        <v>58</v>
      </c>
      <c r="H97" s="67" t="s">
        <v>58</v>
      </c>
      <c r="I97" s="67" t="s">
        <v>104</v>
      </c>
      <c r="J97" s="67" t="n">
        <v>84</v>
      </c>
      <c r="K97" s="69" t="n">
        <v>0</v>
      </c>
      <c r="L97" s="70" t="n">
        <v>77837</v>
      </c>
      <c r="M97" s="67" t="s">
        <v>165</v>
      </c>
      <c r="N97" s="67" t="s">
        <v>165</v>
      </c>
      <c r="O97" s="67" t="n">
        <v>3</v>
      </c>
      <c r="P97" s="67" t="s">
        <v>166</v>
      </c>
      <c r="Q97" s="71" t="n">
        <f aca="false">MONTH(C97)</f>
        <v>5</v>
      </c>
      <c r="R97" s="72" t="str">
        <f aca="false">IF(D97&lt;=14,"1–14",IF(D97&lt;=24,"15–24",IF(D97&lt;=44,"25–44",IF(D97&lt;=64,"45–64","65+"))))</f>
        <v>25–44</v>
      </c>
      <c r="S97" s="72" t="str">
        <f aca="false">IF(J97&lt;=30,"Up to 30",IF(J97&lt;=60,"31–60",IF(J97&lt;=90,"61–90","Over 90")))</f>
        <v>61–90</v>
      </c>
      <c r="T97" s="71" t="n">
        <f aca="false">IF(J97&gt;'Scenario Lab'!$C$5,1,0)</f>
        <v>1</v>
      </c>
      <c r="U97" s="71" t="n">
        <f aca="false">IF(M97="Yes",1,0)</f>
        <v>1</v>
      </c>
      <c r="V97" s="71" t="n">
        <f aca="false">IF(AND(M97="Yes",N97="Yes"),1,0)</f>
        <v>1</v>
      </c>
      <c r="W97" s="72" t="str">
        <f aca="false">IF(AND(G97="Maternal Health",E97="Male",D97&gt;=15),"Review","OK")</f>
        <v>OK</v>
      </c>
    </row>
    <row r="98" customFormat="false" ht="15" hidden="false" customHeight="false" outlineLevel="0" collapsed="false">
      <c r="A98" s="67" t="s">
        <v>362</v>
      </c>
      <c r="B98" s="67" t="s">
        <v>363</v>
      </c>
      <c r="C98" s="68" t="n">
        <v>46066</v>
      </c>
      <c r="D98" s="67" t="n">
        <v>73</v>
      </c>
      <c r="E98" s="67" t="s">
        <v>164</v>
      </c>
      <c r="F98" s="67" t="s">
        <v>61</v>
      </c>
      <c r="G98" s="67" t="s">
        <v>68</v>
      </c>
      <c r="H98" s="67" t="s">
        <v>64</v>
      </c>
      <c r="I98" s="67" t="s">
        <v>104</v>
      </c>
      <c r="J98" s="67" t="n">
        <v>36</v>
      </c>
      <c r="K98" s="69" t="n">
        <v>4.1</v>
      </c>
      <c r="L98" s="70" t="n">
        <v>343123</v>
      </c>
      <c r="M98" s="67" t="s">
        <v>169</v>
      </c>
      <c r="N98" s="67" t="s">
        <v>170</v>
      </c>
      <c r="O98" s="67" t="n">
        <v>5</v>
      </c>
      <c r="P98" s="67" t="s">
        <v>166</v>
      </c>
      <c r="Q98" s="71" t="n">
        <f aca="false">MONTH(C98)</f>
        <v>2</v>
      </c>
      <c r="R98" s="72" t="str">
        <f aca="false">IF(D98&lt;=14,"1–14",IF(D98&lt;=24,"15–24",IF(D98&lt;=44,"25–44",IF(D98&lt;=64,"45–64","65+"))))</f>
        <v>65+</v>
      </c>
      <c r="S98" s="72" t="str">
        <f aca="false">IF(J98&lt;=30,"Up to 30",IF(J98&lt;=60,"31–60",IF(J98&lt;=90,"61–90","Over 90")))</f>
        <v>31–60</v>
      </c>
      <c r="T98" s="71" t="n">
        <f aca="false">IF(J98&gt;'Scenario Lab'!$C$5,1,0)</f>
        <v>0</v>
      </c>
      <c r="U98" s="71" t="n">
        <f aca="false">IF(M98="Yes",1,0)</f>
        <v>0</v>
      </c>
      <c r="V98" s="71" t="n">
        <f aca="false">IF(AND(M98="Yes",N98="Yes"),1,0)</f>
        <v>0</v>
      </c>
      <c r="W98" s="72" t="str">
        <f aca="false">IF(AND(G98="Maternal Health",E98="Male",D98&gt;=15),"Review","OK")</f>
        <v>OK</v>
      </c>
    </row>
    <row r="99" customFormat="false" ht="15" hidden="false" customHeight="false" outlineLevel="0" collapsed="false">
      <c r="A99" s="67" t="s">
        <v>364</v>
      </c>
      <c r="B99" s="67" t="s">
        <v>365</v>
      </c>
      <c r="C99" s="68" t="n">
        <v>46271</v>
      </c>
      <c r="D99" s="67" t="n">
        <v>14</v>
      </c>
      <c r="E99" s="67" t="s">
        <v>164</v>
      </c>
      <c r="F99" s="67" t="s">
        <v>67</v>
      </c>
      <c r="G99" s="67" t="s">
        <v>66</v>
      </c>
      <c r="H99" s="67" t="s">
        <v>64</v>
      </c>
      <c r="I99" s="67" t="s">
        <v>104</v>
      </c>
      <c r="J99" s="67" t="n">
        <v>61</v>
      </c>
      <c r="K99" s="69" t="n">
        <v>0.9</v>
      </c>
      <c r="L99" s="70" t="n">
        <v>59340</v>
      </c>
      <c r="M99" s="67" t="s">
        <v>169</v>
      </c>
      <c r="N99" s="67" t="s">
        <v>170</v>
      </c>
      <c r="O99" s="67" t="n">
        <v>4</v>
      </c>
      <c r="P99" s="67" t="s">
        <v>166</v>
      </c>
      <c r="Q99" s="71" t="n">
        <f aca="false">MONTH(C99)</f>
        <v>9</v>
      </c>
      <c r="R99" s="72" t="str">
        <f aca="false">IF(D99&lt;=14,"1–14",IF(D99&lt;=24,"15–24",IF(D99&lt;=44,"25–44",IF(D99&lt;=64,"45–64","65+"))))</f>
        <v>1–14</v>
      </c>
      <c r="S99" s="72" t="str">
        <f aca="false">IF(J99&lt;=30,"Up to 30",IF(J99&lt;=60,"31–60",IF(J99&lt;=90,"61–90","Over 90")))</f>
        <v>61–90</v>
      </c>
      <c r="T99" s="71" t="n">
        <f aca="false">IF(J99&gt;'Scenario Lab'!$C$5,1,0)</f>
        <v>1</v>
      </c>
      <c r="U99" s="71" t="n">
        <f aca="false">IF(M99="Yes",1,0)</f>
        <v>0</v>
      </c>
      <c r="V99" s="71" t="n">
        <f aca="false">IF(AND(M99="Yes",N99="Yes"),1,0)</f>
        <v>0</v>
      </c>
      <c r="W99" s="72" t="str">
        <f aca="false">IF(AND(G99="Maternal Health",E99="Male",D99&gt;=15),"Review","OK")</f>
        <v>OK</v>
      </c>
    </row>
    <row r="100" customFormat="false" ht="15" hidden="false" customHeight="false" outlineLevel="0" collapsed="false">
      <c r="A100" s="67" t="s">
        <v>366</v>
      </c>
      <c r="B100" s="67" t="s">
        <v>367</v>
      </c>
      <c r="C100" s="68" t="n">
        <v>46215</v>
      </c>
      <c r="D100" s="67" t="n">
        <v>47</v>
      </c>
      <c r="E100" s="67" t="s">
        <v>173</v>
      </c>
      <c r="F100" s="67" t="s">
        <v>59</v>
      </c>
      <c r="G100" s="67" t="s">
        <v>60</v>
      </c>
      <c r="H100" s="67" t="s">
        <v>58</v>
      </c>
      <c r="I100" s="67" t="s">
        <v>105</v>
      </c>
      <c r="J100" s="67" t="n">
        <v>47</v>
      </c>
      <c r="K100" s="69" t="n">
        <v>2</v>
      </c>
      <c r="L100" s="70" t="n">
        <v>64926</v>
      </c>
      <c r="M100" s="67" t="s">
        <v>169</v>
      </c>
      <c r="N100" s="67" t="s">
        <v>170</v>
      </c>
      <c r="O100" s="67" t="n">
        <v>4</v>
      </c>
      <c r="P100" s="67" t="s">
        <v>112</v>
      </c>
      <c r="Q100" s="71" t="n">
        <f aca="false">MONTH(C100)</f>
        <v>7</v>
      </c>
      <c r="R100" s="72" t="str">
        <f aca="false">IF(D100&lt;=14,"1–14",IF(D100&lt;=24,"15–24",IF(D100&lt;=44,"25–44",IF(D100&lt;=64,"45–64","65+"))))</f>
        <v>45–64</v>
      </c>
      <c r="S100" s="72" t="str">
        <f aca="false">IF(J100&lt;=30,"Up to 30",IF(J100&lt;=60,"31–60",IF(J100&lt;=90,"61–90","Over 90")))</f>
        <v>31–60</v>
      </c>
      <c r="T100" s="71" t="n">
        <f aca="false">IF(J100&gt;'Scenario Lab'!$C$5,1,0)</f>
        <v>0</v>
      </c>
      <c r="U100" s="71" t="n">
        <f aca="false">IF(M100="Yes",1,0)</f>
        <v>0</v>
      </c>
      <c r="V100" s="71" t="n">
        <f aca="false">IF(AND(M100="Yes",N100="Yes"),1,0)</f>
        <v>0</v>
      </c>
      <c r="W100" s="72" t="str">
        <f aca="false">IF(AND(G100="Maternal Health",E100="Male",D100&gt;=15),"Review","OK")</f>
        <v>OK</v>
      </c>
    </row>
    <row r="101" customFormat="false" ht="15" hidden="false" customHeight="false" outlineLevel="0" collapsed="false">
      <c r="A101" s="67" t="s">
        <v>368</v>
      </c>
      <c r="B101" s="67" t="s">
        <v>369</v>
      </c>
      <c r="C101" s="68" t="n">
        <v>46142</v>
      </c>
      <c r="D101" s="67" t="n">
        <v>48</v>
      </c>
      <c r="E101" s="67" t="s">
        <v>164</v>
      </c>
      <c r="F101" s="67" t="s">
        <v>65</v>
      </c>
      <c r="G101" s="67" t="s">
        <v>60</v>
      </c>
      <c r="H101" s="67" t="s">
        <v>64</v>
      </c>
      <c r="I101" s="67" t="s">
        <v>109</v>
      </c>
      <c r="J101" s="67" t="n">
        <v>70</v>
      </c>
      <c r="K101" s="69" t="n">
        <v>1.9</v>
      </c>
      <c r="L101" s="70" t="n">
        <v>97440</v>
      </c>
      <c r="M101" s="67" t="s">
        <v>169</v>
      </c>
      <c r="N101" s="67" t="s">
        <v>170</v>
      </c>
      <c r="O101" s="67" t="n">
        <v>4</v>
      </c>
      <c r="P101" s="67" t="s">
        <v>112</v>
      </c>
      <c r="Q101" s="71" t="n">
        <f aca="false">MONTH(C101)</f>
        <v>4</v>
      </c>
      <c r="R101" s="72" t="str">
        <f aca="false">IF(D101&lt;=14,"1–14",IF(D101&lt;=24,"15–24",IF(D101&lt;=44,"25–44",IF(D101&lt;=64,"45–64","65+"))))</f>
        <v>45–64</v>
      </c>
      <c r="S101" s="72" t="str">
        <f aca="false">IF(J101&lt;=30,"Up to 30",IF(J101&lt;=60,"31–60",IF(J101&lt;=90,"61–90","Over 90")))</f>
        <v>61–90</v>
      </c>
      <c r="T101" s="71" t="n">
        <f aca="false">IF(J101&gt;'Scenario Lab'!$C$5,1,0)</f>
        <v>1</v>
      </c>
      <c r="U101" s="71" t="n">
        <f aca="false">IF(M101="Yes",1,0)</f>
        <v>0</v>
      </c>
      <c r="V101" s="71" t="n">
        <f aca="false">IF(AND(M101="Yes",N101="Yes"),1,0)</f>
        <v>0</v>
      </c>
      <c r="W101" s="72" t="str">
        <f aca="false">IF(AND(G101="Maternal Health",E101="Male",D101&gt;=15),"Review","OK")</f>
        <v>OK</v>
      </c>
    </row>
    <row r="102" customFormat="false" ht="15" hidden="false" customHeight="false" outlineLevel="0" collapsed="false">
      <c r="A102" s="67" t="s">
        <v>370</v>
      </c>
      <c r="B102" s="67" t="s">
        <v>371</v>
      </c>
      <c r="C102" s="68" t="n">
        <v>46125</v>
      </c>
      <c r="D102" s="67" t="n">
        <v>62</v>
      </c>
      <c r="E102" s="67" t="s">
        <v>164</v>
      </c>
      <c r="F102" s="67" t="s">
        <v>61</v>
      </c>
      <c r="G102" s="67" t="s">
        <v>58</v>
      </c>
      <c r="H102" s="67" t="s">
        <v>58</v>
      </c>
      <c r="I102" s="67" t="s">
        <v>103</v>
      </c>
      <c r="J102" s="67" t="n">
        <v>99</v>
      </c>
      <c r="K102" s="69" t="n">
        <v>0.6</v>
      </c>
      <c r="L102" s="70" t="n">
        <v>107686</v>
      </c>
      <c r="M102" s="67" t="s">
        <v>165</v>
      </c>
      <c r="N102" s="67" t="s">
        <v>165</v>
      </c>
      <c r="O102" s="67" t="n">
        <v>3</v>
      </c>
      <c r="P102" s="67" t="s">
        <v>166</v>
      </c>
      <c r="Q102" s="71" t="n">
        <f aca="false">MONTH(C102)</f>
        <v>4</v>
      </c>
      <c r="R102" s="72" t="str">
        <f aca="false">IF(D102&lt;=14,"1–14",IF(D102&lt;=24,"15–24",IF(D102&lt;=44,"25–44",IF(D102&lt;=64,"45–64","65+"))))</f>
        <v>45–64</v>
      </c>
      <c r="S102" s="72" t="str">
        <f aca="false">IF(J102&lt;=30,"Up to 30",IF(J102&lt;=60,"31–60",IF(J102&lt;=90,"61–90","Over 90")))</f>
        <v>Over 90</v>
      </c>
      <c r="T102" s="71" t="n">
        <f aca="false">IF(J102&gt;'Scenario Lab'!$C$5,1,0)</f>
        <v>1</v>
      </c>
      <c r="U102" s="71" t="n">
        <f aca="false">IF(M102="Yes",1,0)</f>
        <v>1</v>
      </c>
      <c r="V102" s="71" t="n">
        <f aca="false">IF(AND(M102="Yes",N102="Yes"),1,0)</f>
        <v>1</v>
      </c>
      <c r="W102" s="72" t="str">
        <f aca="false">IF(AND(G102="Maternal Health",E102="Male",D102&gt;=15),"Review","OK")</f>
        <v>OK</v>
      </c>
    </row>
    <row r="103" customFormat="false" ht="15" hidden="false" customHeight="false" outlineLevel="0" collapsed="false">
      <c r="A103" s="67" t="s">
        <v>372</v>
      </c>
      <c r="B103" s="67" t="s">
        <v>373</v>
      </c>
      <c r="C103" s="68" t="n">
        <v>46285</v>
      </c>
      <c r="D103" s="67" t="n">
        <v>45</v>
      </c>
      <c r="E103" s="67" t="s">
        <v>173</v>
      </c>
      <c r="F103" s="67" t="s">
        <v>61</v>
      </c>
      <c r="G103" s="67" t="s">
        <v>64</v>
      </c>
      <c r="H103" s="67" t="s">
        <v>58</v>
      </c>
      <c r="I103" s="67" t="s">
        <v>107</v>
      </c>
      <c r="J103" s="67" t="n">
        <v>44</v>
      </c>
      <c r="K103" s="69" t="n">
        <v>3</v>
      </c>
      <c r="L103" s="70" t="n">
        <v>64995</v>
      </c>
      <c r="M103" s="67" t="s">
        <v>169</v>
      </c>
      <c r="N103" s="67" t="s">
        <v>170</v>
      </c>
      <c r="O103" s="67" t="n">
        <v>4</v>
      </c>
      <c r="P103" s="67" t="s">
        <v>166</v>
      </c>
      <c r="Q103" s="71" t="n">
        <f aca="false">MONTH(C103)</f>
        <v>9</v>
      </c>
      <c r="R103" s="72" t="str">
        <f aca="false">IF(D103&lt;=14,"1–14",IF(D103&lt;=24,"15–24",IF(D103&lt;=44,"25–44",IF(D103&lt;=64,"45–64","65+"))))</f>
        <v>45–64</v>
      </c>
      <c r="S103" s="72" t="str">
        <f aca="false">IF(J103&lt;=30,"Up to 30",IF(J103&lt;=60,"31–60",IF(J103&lt;=90,"61–90","Over 90")))</f>
        <v>31–60</v>
      </c>
      <c r="T103" s="71" t="n">
        <f aca="false">IF(J103&gt;'Scenario Lab'!$C$5,1,0)</f>
        <v>0</v>
      </c>
      <c r="U103" s="71" t="n">
        <f aca="false">IF(M103="Yes",1,0)</f>
        <v>0</v>
      </c>
      <c r="V103" s="71" t="n">
        <f aca="false">IF(AND(M103="Yes",N103="Yes"),1,0)</f>
        <v>0</v>
      </c>
      <c r="W103" s="72" t="str">
        <f aca="false">IF(AND(G103="Maternal Health",E103="Male",D103&gt;=15),"Review","OK")</f>
        <v>OK</v>
      </c>
    </row>
    <row r="104" customFormat="false" ht="15" hidden="false" customHeight="false" outlineLevel="0" collapsed="false">
      <c r="A104" s="67" t="s">
        <v>374</v>
      </c>
      <c r="B104" s="67" t="s">
        <v>375</v>
      </c>
      <c r="C104" s="68" t="n">
        <v>46186</v>
      </c>
      <c r="D104" s="67" t="n">
        <v>1</v>
      </c>
      <c r="E104" s="67" t="s">
        <v>164</v>
      </c>
      <c r="F104" s="67" t="s">
        <v>65</v>
      </c>
      <c r="G104" s="67" t="s">
        <v>60</v>
      </c>
      <c r="H104" s="67" t="s">
        <v>113</v>
      </c>
      <c r="I104" s="67" t="s">
        <v>108</v>
      </c>
      <c r="J104" s="67" t="n">
        <v>62</v>
      </c>
      <c r="K104" s="69" t="n">
        <v>0.6</v>
      </c>
      <c r="L104" s="70" t="n">
        <v>53931</v>
      </c>
      <c r="M104" s="67" t="s">
        <v>165</v>
      </c>
      <c r="N104" s="67" t="s">
        <v>165</v>
      </c>
      <c r="O104" s="67" t="n">
        <v>4</v>
      </c>
      <c r="P104" s="67" t="s">
        <v>166</v>
      </c>
      <c r="Q104" s="71" t="n">
        <f aca="false">MONTH(C104)</f>
        <v>6</v>
      </c>
      <c r="R104" s="72" t="str">
        <f aca="false">IF(D104&lt;=14,"1–14",IF(D104&lt;=24,"15–24",IF(D104&lt;=44,"25–44",IF(D104&lt;=64,"45–64","65+"))))</f>
        <v>1–14</v>
      </c>
      <c r="S104" s="72" t="str">
        <f aca="false">IF(J104&lt;=30,"Up to 30",IF(J104&lt;=60,"31–60",IF(J104&lt;=90,"61–90","Over 90")))</f>
        <v>61–90</v>
      </c>
      <c r="T104" s="71" t="n">
        <f aca="false">IF(J104&gt;'Scenario Lab'!$C$5,1,0)</f>
        <v>1</v>
      </c>
      <c r="U104" s="71" t="n">
        <f aca="false">IF(M104="Yes",1,0)</f>
        <v>1</v>
      </c>
      <c r="V104" s="71" t="n">
        <f aca="false">IF(AND(M104="Yes",N104="Yes"),1,0)</f>
        <v>1</v>
      </c>
      <c r="W104" s="72" t="str">
        <f aca="false">IF(AND(G104="Maternal Health",E104="Male",D104&gt;=15),"Review","OK")</f>
        <v>OK</v>
      </c>
    </row>
    <row r="105" customFormat="false" ht="15" hidden="false" customHeight="false" outlineLevel="0" collapsed="false">
      <c r="A105" s="67" t="s">
        <v>376</v>
      </c>
      <c r="B105" s="67" t="s">
        <v>377</v>
      </c>
      <c r="C105" s="68" t="n">
        <v>46032</v>
      </c>
      <c r="D105" s="67" t="n">
        <v>50</v>
      </c>
      <c r="E105" s="67" t="s">
        <v>164</v>
      </c>
      <c r="F105" s="67" t="s">
        <v>63</v>
      </c>
      <c r="G105" s="67" t="s">
        <v>64</v>
      </c>
      <c r="H105" s="67" t="s">
        <v>64</v>
      </c>
      <c r="I105" s="67" t="s">
        <v>108</v>
      </c>
      <c r="J105" s="67" t="n">
        <v>15</v>
      </c>
      <c r="K105" s="69" t="n">
        <v>0.8</v>
      </c>
      <c r="L105" s="70" t="n">
        <v>48335</v>
      </c>
      <c r="M105" s="67" t="s">
        <v>165</v>
      </c>
      <c r="N105" s="67" t="s">
        <v>165</v>
      </c>
      <c r="O105" s="67" t="n">
        <v>4</v>
      </c>
      <c r="P105" s="67" t="s">
        <v>180</v>
      </c>
      <c r="Q105" s="71" t="n">
        <f aca="false">MONTH(C105)</f>
        <v>1</v>
      </c>
      <c r="R105" s="72" t="str">
        <f aca="false">IF(D105&lt;=14,"1–14",IF(D105&lt;=24,"15–24",IF(D105&lt;=44,"25–44",IF(D105&lt;=64,"45–64","65+"))))</f>
        <v>45–64</v>
      </c>
      <c r="S105" s="72" t="str">
        <f aca="false">IF(J105&lt;=30,"Up to 30",IF(J105&lt;=60,"31–60",IF(J105&lt;=90,"61–90","Over 90")))</f>
        <v>Up to 30</v>
      </c>
      <c r="T105" s="71" t="n">
        <f aca="false">IF(J105&gt;'Scenario Lab'!$C$5,1,0)</f>
        <v>0</v>
      </c>
      <c r="U105" s="71" t="n">
        <f aca="false">IF(M105="Yes",1,0)</f>
        <v>1</v>
      </c>
      <c r="V105" s="71" t="n">
        <f aca="false">IF(AND(M105="Yes",N105="Yes"),1,0)</f>
        <v>1</v>
      </c>
      <c r="W105" s="72" t="str">
        <f aca="false">IF(AND(G105="Maternal Health",E105="Male",D105&gt;=15),"Review","OK")</f>
        <v>OK</v>
      </c>
    </row>
    <row r="106" customFormat="false" ht="15" hidden="false" customHeight="false" outlineLevel="0" collapsed="false">
      <c r="A106" s="67" t="s">
        <v>378</v>
      </c>
      <c r="B106" s="67" t="s">
        <v>379</v>
      </c>
      <c r="C106" s="68" t="n">
        <v>46278</v>
      </c>
      <c r="D106" s="67" t="n">
        <v>48</v>
      </c>
      <c r="E106" s="67" t="s">
        <v>173</v>
      </c>
      <c r="F106" s="67" t="s">
        <v>59</v>
      </c>
      <c r="G106" s="67" t="s">
        <v>60</v>
      </c>
      <c r="H106" s="67" t="s">
        <v>112</v>
      </c>
      <c r="I106" s="67" t="s">
        <v>107</v>
      </c>
      <c r="J106" s="67" t="n">
        <v>30</v>
      </c>
      <c r="K106" s="69" t="n">
        <v>0</v>
      </c>
      <c r="L106" s="70" t="n">
        <v>56253</v>
      </c>
      <c r="M106" s="67" t="s">
        <v>169</v>
      </c>
      <c r="N106" s="67" t="s">
        <v>170</v>
      </c>
      <c r="O106" s="67" t="n">
        <v>5</v>
      </c>
      <c r="P106" s="67" t="s">
        <v>166</v>
      </c>
      <c r="Q106" s="71" t="n">
        <f aca="false">MONTH(C106)</f>
        <v>9</v>
      </c>
      <c r="R106" s="72" t="str">
        <f aca="false">IF(D106&lt;=14,"1–14",IF(D106&lt;=24,"15–24",IF(D106&lt;=44,"25–44",IF(D106&lt;=64,"45–64","65+"))))</f>
        <v>45–64</v>
      </c>
      <c r="S106" s="72" t="str">
        <f aca="false">IF(J106&lt;=30,"Up to 30",IF(J106&lt;=60,"31–60",IF(J106&lt;=90,"61–90","Over 90")))</f>
        <v>Up to 30</v>
      </c>
      <c r="T106" s="71" t="n">
        <f aca="false">IF(J106&gt;'Scenario Lab'!$C$5,1,0)</f>
        <v>0</v>
      </c>
      <c r="U106" s="71" t="n">
        <f aca="false">IF(M106="Yes",1,0)</f>
        <v>0</v>
      </c>
      <c r="V106" s="71" t="n">
        <f aca="false">IF(AND(M106="Yes",N106="Yes"),1,0)</f>
        <v>0</v>
      </c>
      <c r="W106" s="72" t="str">
        <f aca="false">IF(AND(G106="Maternal Health",E106="Male",D106&gt;=15),"Review","OK")</f>
        <v>OK</v>
      </c>
    </row>
    <row r="107" customFormat="false" ht="15" hidden="false" customHeight="false" outlineLevel="0" collapsed="false">
      <c r="A107" s="67" t="s">
        <v>380</v>
      </c>
      <c r="B107" s="67" t="s">
        <v>381</v>
      </c>
      <c r="C107" s="68" t="n">
        <v>46207</v>
      </c>
      <c r="D107" s="67" t="n">
        <v>25</v>
      </c>
      <c r="E107" s="67" t="s">
        <v>164</v>
      </c>
      <c r="F107" s="67" t="s">
        <v>61</v>
      </c>
      <c r="G107" s="67" t="s">
        <v>62</v>
      </c>
      <c r="H107" s="67" t="s">
        <v>64</v>
      </c>
      <c r="I107" s="67" t="s">
        <v>108</v>
      </c>
      <c r="J107" s="67" t="n">
        <v>56</v>
      </c>
      <c r="K107" s="69" t="n">
        <v>1.3</v>
      </c>
      <c r="L107" s="70" t="n">
        <v>93697</v>
      </c>
      <c r="M107" s="67" t="s">
        <v>169</v>
      </c>
      <c r="N107" s="67" t="s">
        <v>170</v>
      </c>
      <c r="O107" s="67" t="n">
        <v>5</v>
      </c>
      <c r="P107" s="67" t="s">
        <v>166</v>
      </c>
      <c r="Q107" s="71" t="n">
        <f aca="false">MONTH(C107)</f>
        <v>7</v>
      </c>
      <c r="R107" s="72" t="str">
        <f aca="false">IF(D107&lt;=14,"1–14",IF(D107&lt;=24,"15–24",IF(D107&lt;=44,"25–44",IF(D107&lt;=64,"45–64","65+"))))</f>
        <v>25–44</v>
      </c>
      <c r="S107" s="72" t="str">
        <f aca="false">IF(J107&lt;=30,"Up to 30",IF(J107&lt;=60,"31–60",IF(J107&lt;=90,"61–90","Over 90")))</f>
        <v>31–60</v>
      </c>
      <c r="T107" s="71" t="n">
        <f aca="false">IF(J107&gt;'Scenario Lab'!$C$5,1,0)</f>
        <v>0</v>
      </c>
      <c r="U107" s="71" t="n">
        <f aca="false">IF(M107="Yes",1,0)</f>
        <v>0</v>
      </c>
      <c r="V107" s="71" t="n">
        <f aca="false">IF(AND(M107="Yes",N107="Yes"),1,0)</f>
        <v>0</v>
      </c>
      <c r="W107" s="72" t="str">
        <f aca="false">IF(AND(G107="Maternal Health",E107="Male",D107&gt;=15),"Review","OK")</f>
        <v>OK</v>
      </c>
    </row>
    <row r="108" customFormat="false" ht="15" hidden="false" customHeight="false" outlineLevel="0" collapsed="false">
      <c r="A108" s="67" t="s">
        <v>382</v>
      </c>
      <c r="B108" s="67" t="s">
        <v>383</v>
      </c>
      <c r="C108" s="68" t="n">
        <v>46076</v>
      </c>
      <c r="D108" s="67" t="n">
        <v>13</v>
      </c>
      <c r="E108" s="67" t="s">
        <v>164</v>
      </c>
      <c r="F108" s="67" t="s">
        <v>65</v>
      </c>
      <c r="G108" s="67" t="s">
        <v>60</v>
      </c>
      <c r="H108" s="67" t="s">
        <v>113</v>
      </c>
      <c r="I108" s="67" t="s">
        <v>107</v>
      </c>
      <c r="J108" s="67" t="n">
        <v>44</v>
      </c>
      <c r="K108" s="69" t="n">
        <v>0.5</v>
      </c>
      <c r="L108" s="70" t="n">
        <v>47835</v>
      </c>
      <c r="M108" s="67" t="s">
        <v>165</v>
      </c>
      <c r="N108" s="67" t="s">
        <v>165</v>
      </c>
      <c r="O108" s="67" t="n">
        <v>5</v>
      </c>
      <c r="P108" s="67" t="s">
        <v>166</v>
      </c>
      <c r="Q108" s="71" t="n">
        <f aca="false">MONTH(C108)</f>
        <v>2</v>
      </c>
      <c r="R108" s="72" t="str">
        <f aca="false">IF(D108&lt;=14,"1–14",IF(D108&lt;=24,"15–24",IF(D108&lt;=44,"25–44",IF(D108&lt;=64,"45–64","65+"))))</f>
        <v>1–14</v>
      </c>
      <c r="S108" s="72" t="str">
        <f aca="false">IF(J108&lt;=30,"Up to 30",IF(J108&lt;=60,"31–60",IF(J108&lt;=90,"61–90","Over 90")))</f>
        <v>31–60</v>
      </c>
      <c r="T108" s="71" t="n">
        <f aca="false">IF(J108&gt;'Scenario Lab'!$C$5,1,0)</f>
        <v>0</v>
      </c>
      <c r="U108" s="71" t="n">
        <f aca="false">IF(M108="Yes",1,0)</f>
        <v>1</v>
      </c>
      <c r="V108" s="71" t="n">
        <f aca="false">IF(AND(M108="Yes",N108="Yes"),1,0)</f>
        <v>1</v>
      </c>
      <c r="W108" s="72" t="str">
        <f aca="false">IF(AND(G108="Maternal Health",E108="Male",D108&gt;=15),"Review","OK")</f>
        <v>OK</v>
      </c>
    </row>
    <row r="109" customFormat="false" ht="15" hidden="false" customHeight="false" outlineLevel="0" collapsed="false">
      <c r="A109" s="67" t="s">
        <v>384</v>
      </c>
      <c r="B109" s="67" t="s">
        <v>385</v>
      </c>
      <c r="C109" s="68" t="n">
        <v>46257</v>
      </c>
      <c r="D109" s="67" t="n">
        <v>20</v>
      </c>
      <c r="E109" s="67" t="s">
        <v>173</v>
      </c>
      <c r="F109" s="67" t="s">
        <v>67</v>
      </c>
      <c r="G109" s="67" t="s">
        <v>68</v>
      </c>
      <c r="H109" s="67" t="s">
        <v>64</v>
      </c>
      <c r="I109" s="67" t="s">
        <v>103</v>
      </c>
      <c r="J109" s="67" t="n">
        <v>50</v>
      </c>
      <c r="K109" s="69" t="n">
        <v>2.8</v>
      </c>
      <c r="L109" s="70" t="n">
        <v>261570</v>
      </c>
      <c r="M109" s="67" t="s">
        <v>165</v>
      </c>
      <c r="N109" s="67" t="s">
        <v>165</v>
      </c>
      <c r="O109" s="67" t="n">
        <v>3</v>
      </c>
      <c r="P109" s="67" t="s">
        <v>166</v>
      </c>
      <c r="Q109" s="71" t="n">
        <f aca="false">MONTH(C109)</f>
        <v>8</v>
      </c>
      <c r="R109" s="72" t="str">
        <f aca="false">IF(D109&lt;=14,"1–14",IF(D109&lt;=24,"15–24",IF(D109&lt;=44,"25–44",IF(D109&lt;=64,"45–64","65+"))))</f>
        <v>15–24</v>
      </c>
      <c r="S109" s="72" t="str">
        <f aca="false">IF(J109&lt;=30,"Up to 30",IF(J109&lt;=60,"31–60",IF(J109&lt;=90,"61–90","Over 90")))</f>
        <v>31–60</v>
      </c>
      <c r="T109" s="71" t="n">
        <f aca="false">IF(J109&gt;'Scenario Lab'!$C$5,1,0)</f>
        <v>0</v>
      </c>
      <c r="U109" s="71" t="n">
        <f aca="false">IF(M109="Yes",1,0)</f>
        <v>1</v>
      </c>
      <c r="V109" s="71" t="n">
        <f aca="false">IF(AND(M109="Yes",N109="Yes"),1,0)</f>
        <v>1</v>
      </c>
      <c r="W109" s="72" t="str">
        <f aca="false">IF(AND(G109="Maternal Health",E109="Male",D109&gt;=15),"Review","OK")</f>
        <v>OK</v>
      </c>
    </row>
    <row r="110" customFormat="false" ht="15" hidden="false" customHeight="false" outlineLevel="0" collapsed="false">
      <c r="A110" s="67" t="s">
        <v>386</v>
      </c>
      <c r="B110" s="67" t="s">
        <v>387</v>
      </c>
      <c r="C110" s="68" t="n">
        <v>46205</v>
      </c>
      <c r="D110" s="67" t="n">
        <v>46</v>
      </c>
      <c r="E110" s="67" t="s">
        <v>164</v>
      </c>
      <c r="F110" s="67" t="s">
        <v>61</v>
      </c>
      <c r="G110" s="67" t="s">
        <v>60</v>
      </c>
      <c r="H110" s="67" t="s">
        <v>113</v>
      </c>
      <c r="I110" s="67" t="s">
        <v>105</v>
      </c>
      <c r="J110" s="67" t="n">
        <v>75</v>
      </c>
      <c r="K110" s="69" t="n">
        <v>7.7</v>
      </c>
      <c r="L110" s="70" t="n">
        <v>151962</v>
      </c>
      <c r="M110" s="67" t="s">
        <v>169</v>
      </c>
      <c r="N110" s="67" t="s">
        <v>170</v>
      </c>
      <c r="O110" s="67" t="n">
        <v>4</v>
      </c>
      <c r="P110" s="67" t="s">
        <v>166</v>
      </c>
      <c r="Q110" s="71" t="n">
        <f aca="false">MONTH(C110)</f>
        <v>7</v>
      </c>
      <c r="R110" s="72" t="str">
        <f aca="false">IF(D110&lt;=14,"1–14",IF(D110&lt;=24,"15–24",IF(D110&lt;=44,"25–44",IF(D110&lt;=64,"45–64","65+"))))</f>
        <v>45–64</v>
      </c>
      <c r="S110" s="72" t="str">
        <f aca="false">IF(J110&lt;=30,"Up to 30",IF(J110&lt;=60,"31–60",IF(J110&lt;=90,"61–90","Over 90")))</f>
        <v>61–90</v>
      </c>
      <c r="T110" s="71" t="n">
        <f aca="false">IF(J110&gt;'Scenario Lab'!$C$5,1,0)</f>
        <v>1</v>
      </c>
      <c r="U110" s="71" t="n">
        <f aca="false">IF(M110="Yes",1,0)</f>
        <v>0</v>
      </c>
      <c r="V110" s="71" t="n">
        <f aca="false">IF(AND(M110="Yes",N110="Yes"),1,0)</f>
        <v>0</v>
      </c>
      <c r="W110" s="72" t="str">
        <f aca="false">IF(AND(G110="Maternal Health",E110="Male",D110&gt;=15),"Review","OK")</f>
        <v>OK</v>
      </c>
    </row>
    <row r="111" customFormat="false" ht="15" hidden="false" customHeight="false" outlineLevel="0" collapsed="false">
      <c r="A111" s="67" t="s">
        <v>388</v>
      </c>
      <c r="B111" s="67" t="s">
        <v>389</v>
      </c>
      <c r="C111" s="68" t="n">
        <v>46211</v>
      </c>
      <c r="D111" s="67" t="n">
        <v>62</v>
      </c>
      <c r="E111" s="67" t="s">
        <v>173</v>
      </c>
      <c r="F111" s="67" t="s">
        <v>59</v>
      </c>
      <c r="G111" s="67" t="s">
        <v>64</v>
      </c>
      <c r="H111" s="67" t="s">
        <v>112</v>
      </c>
      <c r="I111" s="67" t="s">
        <v>105</v>
      </c>
      <c r="J111" s="67" t="n">
        <v>41</v>
      </c>
      <c r="K111" s="69" t="n">
        <v>0.5</v>
      </c>
      <c r="L111" s="70" t="n">
        <v>21461</v>
      </c>
      <c r="M111" s="67" t="s">
        <v>165</v>
      </c>
      <c r="N111" s="67" t="s">
        <v>165</v>
      </c>
      <c r="O111" s="67" t="n">
        <v>5</v>
      </c>
      <c r="P111" s="67" t="s">
        <v>112</v>
      </c>
      <c r="Q111" s="71" t="n">
        <f aca="false">MONTH(C111)</f>
        <v>7</v>
      </c>
      <c r="R111" s="72" t="str">
        <f aca="false">IF(D111&lt;=14,"1–14",IF(D111&lt;=24,"15–24",IF(D111&lt;=44,"25–44",IF(D111&lt;=64,"45–64","65+"))))</f>
        <v>45–64</v>
      </c>
      <c r="S111" s="72" t="str">
        <f aca="false">IF(J111&lt;=30,"Up to 30",IF(J111&lt;=60,"31–60",IF(J111&lt;=90,"61–90","Over 90")))</f>
        <v>31–60</v>
      </c>
      <c r="T111" s="71" t="n">
        <f aca="false">IF(J111&gt;'Scenario Lab'!$C$5,1,0)</f>
        <v>0</v>
      </c>
      <c r="U111" s="71" t="n">
        <f aca="false">IF(M111="Yes",1,0)</f>
        <v>1</v>
      </c>
      <c r="V111" s="71" t="n">
        <f aca="false">IF(AND(M111="Yes",N111="Yes"),1,0)</f>
        <v>1</v>
      </c>
      <c r="W111" s="72" t="str">
        <f aca="false">IF(AND(G111="Maternal Health",E111="Male",D111&gt;=15),"Review","OK")</f>
        <v>OK</v>
      </c>
    </row>
    <row r="112" customFormat="false" ht="15" hidden="false" customHeight="false" outlineLevel="0" collapsed="false">
      <c r="A112" s="67" t="s">
        <v>390</v>
      </c>
      <c r="B112" s="67" t="s">
        <v>391</v>
      </c>
      <c r="C112" s="68" t="n">
        <v>46241</v>
      </c>
      <c r="D112" s="67" t="n">
        <v>2</v>
      </c>
      <c r="E112" s="67" t="s">
        <v>173</v>
      </c>
      <c r="F112" s="67" t="s">
        <v>59</v>
      </c>
      <c r="G112" s="67" t="s">
        <v>64</v>
      </c>
      <c r="H112" s="67" t="s">
        <v>64</v>
      </c>
      <c r="I112" s="67" t="s">
        <v>108</v>
      </c>
      <c r="J112" s="67" t="n">
        <v>31</v>
      </c>
      <c r="K112" s="69" t="n">
        <v>0</v>
      </c>
      <c r="L112" s="70" t="n">
        <v>34027</v>
      </c>
      <c r="M112" s="67" t="s">
        <v>165</v>
      </c>
      <c r="N112" s="67" t="s">
        <v>165</v>
      </c>
      <c r="O112" s="67" t="n">
        <v>5</v>
      </c>
      <c r="P112" s="67" t="s">
        <v>166</v>
      </c>
      <c r="Q112" s="71" t="n">
        <f aca="false">MONTH(C112)</f>
        <v>8</v>
      </c>
      <c r="R112" s="72" t="str">
        <f aca="false">IF(D112&lt;=14,"1–14",IF(D112&lt;=24,"15–24",IF(D112&lt;=44,"25–44",IF(D112&lt;=64,"45–64","65+"))))</f>
        <v>1–14</v>
      </c>
      <c r="S112" s="72" t="str">
        <f aca="false">IF(J112&lt;=30,"Up to 30",IF(J112&lt;=60,"31–60",IF(J112&lt;=90,"61–90","Over 90")))</f>
        <v>31–60</v>
      </c>
      <c r="T112" s="71" t="n">
        <f aca="false">IF(J112&gt;'Scenario Lab'!$C$5,1,0)</f>
        <v>0</v>
      </c>
      <c r="U112" s="71" t="n">
        <f aca="false">IF(M112="Yes",1,0)</f>
        <v>1</v>
      </c>
      <c r="V112" s="71" t="n">
        <f aca="false">IF(AND(M112="Yes",N112="Yes"),1,0)</f>
        <v>1</v>
      </c>
      <c r="W112" s="72" t="str">
        <f aca="false">IF(AND(G112="Maternal Health",E112="Male",D112&gt;=15),"Review","OK")</f>
        <v>OK</v>
      </c>
    </row>
    <row r="113" customFormat="false" ht="15" hidden="false" customHeight="false" outlineLevel="0" collapsed="false">
      <c r="A113" s="67" t="s">
        <v>392</v>
      </c>
      <c r="B113" s="67" t="s">
        <v>393</v>
      </c>
      <c r="C113" s="68" t="n">
        <v>46104</v>
      </c>
      <c r="D113" s="67" t="n">
        <v>16</v>
      </c>
      <c r="E113" s="67" t="s">
        <v>173</v>
      </c>
      <c r="F113" s="67" t="s">
        <v>67</v>
      </c>
      <c r="G113" s="67" t="s">
        <v>60</v>
      </c>
      <c r="H113" s="67" t="s">
        <v>113</v>
      </c>
      <c r="I113" s="67" t="s">
        <v>109</v>
      </c>
      <c r="J113" s="67" t="n">
        <v>54</v>
      </c>
      <c r="K113" s="69" t="n">
        <v>6.6</v>
      </c>
      <c r="L113" s="70" t="n">
        <v>150275</v>
      </c>
      <c r="M113" s="67" t="s">
        <v>169</v>
      </c>
      <c r="N113" s="67" t="s">
        <v>170</v>
      </c>
      <c r="O113" s="67" t="n">
        <v>4</v>
      </c>
      <c r="P113" s="67" t="s">
        <v>166</v>
      </c>
      <c r="Q113" s="71" t="n">
        <f aca="false">MONTH(C113)</f>
        <v>3</v>
      </c>
      <c r="R113" s="72" t="str">
        <f aca="false">IF(D113&lt;=14,"1–14",IF(D113&lt;=24,"15–24",IF(D113&lt;=44,"25–44",IF(D113&lt;=64,"45–64","65+"))))</f>
        <v>15–24</v>
      </c>
      <c r="S113" s="72" t="str">
        <f aca="false">IF(J113&lt;=30,"Up to 30",IF(J113&lt;=60,"31–60",IF(J113&lt;=90,"61–90","Over 90")))</f>
        <v>31–60</v>
      </c>
      <c r="T113" s="71" t="n">
        <f aca="false">IF(J113&gt;'Scenario Lab'!$C$5,1,0)</f>
        <v>0</v>
      </c>
      <c r="U113" s="71" t="n">
        <f aca="false">IF(M113="Yes",1,0)</f>
        <v>0</v>
      </c>
      <c r="V113" s="71" t="n">
        <f aca="false">IF(AND(M113="Yes",N113="Yes"),1,0)</f>
        <v>0</v>
      </c>
      <c r="W113" s="72" t="str">
        <f aca="false">IF(AND(G113="Maternal Health",E113="Male",D113&gt;=15),"Review","OK")</f>
        <v>OK</v>
      </c>
    </row>
    <row r="114" customFormat="false" ht="15" hidden="false" customHeight="false" outlineLevel="0" collapsed="false">
      <c r="A114" s="67" t="s">
        <v>394</v>
      </c>
      <c r="B114" s="67" t="s">
        <v>395</v>
      </c>
      <c r="C114" s="68" t="n">
        <v>46212</v>
      </c>
      <c r="D114" s="67" t="n">
        <v>52</v>
      </c>
      <c r="E114" s="67" t="s">
        <v>173</v>
      </c>
      <c r="F114" s="67" t="s">
        <v>59</v>
      </c>
      <c r="G114" s="67" t="s">
        <v>64</v>
      </c>
      <c r="H114" s="67" t="s">
        <v>64</v>
      </c>
      <c r="I114" s="67" t="s">
        <v>107</v>
      </c>
      <c r="J114" s="67" t="n">
        <v>52</v>
      </c>
      <c r="K114" s="69" t="n">
        <v>1.5</v>
      </c>
      <c r="L114" s="70" t="n">
        <v>35937</v>
      </c>
      <c r="M114" s="67" t="s">
        <v>165</v>
      </c>
      <c r="N114" s="67" t="s">
        <v>165</v>
      </c>
      <c r="O114" s="67" t="n">
        <v>5</v>
      </c>
      <c r="P114" s="67" t="s">
        <v>166</v>
      </c>
      <c r="Q114" s="71" t="n">
        <f aca="false">MONTH(C114)</f>
        <v>7</v>
      </c>
      <c r="R114" s="72" t="str">
        <f aca="false">IF(D114&lt;=14,"1–14",IF(D114&lt;=24,"15–24",IF(D114&lt;=44,"25–44",IF(D114&lt;=64,"45–64","65+"))))</f>
        <v>45–64</v>
      </c>
      <c r="S114" s="72" t="str">
        <f aca="false">IF(J114&lt;=30,"Up to 30",IF(J114&lt;=60,"31–60",IF(J114&lt;=90,"61–90","Over 90")))</f>
        <v>31–60</v>
      </c>
      <c r="T114" s="71" t="n">
        <f aca="false">IF(J114&gt;'Scenario Lab'!$C$5,1,0)</f>
        <v>0</v>
      </c>
      <c r="U114" s="71" t="n">
        <f aca="false">IF(M114="Yes",1,0)</f>
        <v>1</v>
      </c>
      <c r="V114" s="71" t="n">
        <f aca="false">IF(AND(M114="Yes",N114="Yes"),1,0)</f>
        <v>1</v>
      </c>
      <c r="W114" s="72" t="str">
        <f aca="false">IF(AND(G114="Maternal Health",E114="Male",D114&gt;=15),"Review","OK")</f>
        <v>OK</v>
      </c>
    </row>
    <row r="115" customFormat="false" ht="15" hidden="false" customHeight="false" outlineLevel="0" collapsed="false">
      <c r="A115" s="67" t="s">
        <v>396</v>
      </c>
      <c r="B115" s="67" t="s">
        <v>397</v>
      </c>
      <c r="C115" s="68" t="n">
        <v>46156</v>
      </c>
      <c r="D115" s="67" t="n">
        <v>9</v>
      </c>
      <c r="E115" s="67" t="s">
        <v>173</v>
      </c>
      <c r="F115" s="67" t="s">
        <v>65</v>
      </c>
      <c r="G115" s="67" t="s">
        <v>66</v>
      </c>
      <c r="H115" s="67" t="s">
        <v>64</v>
      </c>
      <c r="I115" s="67" t="s">
        <v>107</v>
      </c>
      <c r="J115" s="67" t="n">
        <v>21</v>
      </c>
      <c r="K115" s="69" t="n">
        <v>5.4</v>
      </c>
      <c r="L115" s="70" t="n">
        <v>104550</v>
      </c>
      <c r="M115" s="67" t="s">
        <v>165</v>
      </c>
      <c r="N115" s="67" t="s">
        <v>169</v>
      </c>
      <c r="O115" s="67" t="n">
        <v>5</v>
      </c>
      <c r="P115" s="67" t="s">
        <v>166</v>
      </c>
      <c r="Q115" s="71" t="n">
        <f aca="false">MONTH(C115)</f>
        <v>5</v>
      </c>
      <c r="R115" s="72" t="str">
        <f aca="false">IF(D115&lt;=14,"1–14",IF(D115&lt;=24,"15–24",IF(D115&lt;=44,"25–44",IF(D115&lt;=64,"45–64","65+"))))</f>
        <v>1–14</v>
      </c>
      <c r="S115" s="72" t="str">
        <f aca="false">IF(J115&lt;=30,"Up to 30",IF(J115&lt;=60,"31–60",IF(J115&lt;=90,"61–90","Over 90")))</f>
        <v>Up to 30</v>
      </c>
      <c r="T115" s="71" t="n">
        <f aca="false">IF(J115&gt;'Scenario Lab'!$C$5,1,0)</f>
        <v>0</v>
      </c>
      <c r="U115" s="71" t="n">
        <f aca="false">IF(M115="Yes",1,0)</f>
        <v>1</v>
      </c>
      <c r="V115" s="71" t="n">
        <f aca="false">IF(AND(M115="Yes",N115="Yes"),1,0)</f>
        <v>0</v>
      </c>
      <c r="W115" s="72" t="str">
        <f aca="false">IF(AND(G115="Maternal Health",E115="Male",D115&gt;=15),"Review","OK")</f>
        <v>OK</v>
      </c>
    </row>
    <row r="116" customFormat="false" ht="15" hidden="false" customHeight="false" outlineLevel="0" collapsed="false">
      <c r="A116" s="67" t="s">
        <v>398</v>
      </c>
      <c r="B116" s="67" t="s">
        <v>399</v>
      </c>
      <c r="C116" s="68" t="n">
        <v>46186</v>
      </c>
      <c r="D116" s="67" t="n">
        <v>62</v>
      </c>
      <c r="E116" s="67" t="s">
        <v>173</v>
      </c>
      <c r="F116" s="67" t="s">
        <v>63</v>
      </c>
      <c r="G116" s="67" t="s">
        <v>68</v>
      </c>
      <c r="H116" s="67" t="s">
        <v>64</v>
      </c>
      <c r="I116" s="67" t="s">
        <v>106</v>
      </c>
      <c r="J116" s="67" t="n">
        <v>86</v>
      </c>
      <c r="K116" s="69" t="n">
        <v>0.7</v>
      </c>
      <c r="L116" s="70" t="n">
        <v>246060</v>
      </c>
      <c r="M116" s="67" t="s">
        <v>165</v>
      </c>
      <c r="N116" s="67" t="s">
        <v>165</v>
      </c>
      <c r="O116" s="67" t="n">
        <v>3</v>
      </c>
      <c r="P116" s="67" t="s">
        <v>180</v>
      </c>
      <c r="Q116" s="71" t="n">
        <f aca="false">MONTH(C116)</f>
        <v>6</v>
      </c>
      <c r="R116" s="72" t="str">
        <f aca="false">IF(D116&lt;=14,"1–14",IF(D116&lt;=24,"15–24",IF(D116&lt;=44,"25–44",IF(D116&lt;=64,"45–64","65+"))))</f>
        <v>45–64</v>
      </c>
      <c r="S116" s="72" t="str">
        <f aca="false">IF(J116&lt;=30,"Up to 30",IF(J116&lt;=60,"31–60",IF(J116&lt;=90,"61–90","Over 90")))</f>
        <v>61–90</v>
      </c>
      <c r="T116" s="71" t="n">
        <f aca="false">IF(J116&gt;'Scenario Lab'!$C$5,1,0)</f>
        <v>1</v>
      </c>
      <c r="U116" s="71" t="n">
        <f aca="false">IF(M116="Yes",1,0)</f>
        <v>1</v>
      </c>
      <c r="V116" s="71" t="n">
        <f aca="false">IF(AND(M116="Yes",N116="Yes"),1,0)</f>
        <v>1</v>
      </c>
      <c r="W116" s="72" t="str">
        <f aca="false">IF(AND(G116="Maternal Health",E116="Male",D116&gt;=15),"Review","OK")</f>
        <v>OK</v>
      </c>
    </row>
    <row r="117" customFormat="false" ht="15" hidden="false" customHeight="false" outlineLevel="0" collapsed="false">
      <c r="A117" s="67" t="s">
        <v>400</v>
      </c>
      <c r="B117" s="67" t="s">
        <v>401</v>
      </c>
      <c r="C117" s="68" t="n">
        <v>46094</v>
      </c>
      <c r="D117" s="67" t="n">
        <v>27</v>
      </c>
      <c r="E117" s="67" t="s">
        <v>173</v>
      </c>
      <c r="F117" s="67" t="s">
        <v>63</v>
      </c>
      <c r="G117" s="67" t="s">
        <v>62</v>
      </c>
      <c r="H117" s="67" t="s">
        <v>112</v>
      </c>
      <c r="I117" s="67" t="s">
        <v>108</v>
      </c>
      <c r="J117" s="67" t="n">
        <v>35</v>
      </c>
      <c r="K117" s="69" t="n">
        <v>4.3</v>
      </c>
      <c r="L117" s="70" t="n">
        <v>127506</v>
      </c>
      <c r="M117" s="67" t="s">
        <v>165</v>
      </c>
      <c r="N117" s="67" t="s">
        <v>165</v>
      </c>
      <c r="O117" s="67" t="n">
        <v>4</v>
      </c>
      <c r="P117" s="67" t="s">
        <v>166</v>
      </c>
      <c r="Q117" s="71" t="n">
        <f aca="false">MONTH(C117)</f>
        <v>3</v>
      </c>
      <c r="R117" s="72" t="str">
        <f aca="false">IF(D117&lt;=14,"1–14",IF(D117&lt;=24,"15–24",IF(D117&lt;=44,"25–44",IF(D117&lt;=64,"45–64","65+"))))</f>
        <v>25–44</v>
      </c>
      <c r="S117" s="72" t="str">
        <f aca="false">IF(J117&lt;=30,"Up to 30",IF(J117&lt;=60,"31–60",IF(J117&lt;=90,"61–90","Over 90")))</f>
        <v>31–60</v>
      </c>
      <c r="T117" s="71" t="n">
        <f aca="false">IF(J117&gt;'Scenario Lab'!$C$5,1,0)</f>
        <v>0</v>
      </c>
      <c r="U117" s="71" t="n">
        <f aca="false">IF(M117="Yes",1,0)</f>
        <v>1</v>
      </c>
      <c r="V117" s="71" t="n">
        <f aca="false">IF(AND(M117="Yes",N117="Yes"),1,0)</f>
        <v>1</v>
      </c>
      <c r="W117" s="72" t="str">
        <f aca="false">IF(AND(G117="Maternal Health",E117="Male",D117&gt;=15),"Review","OK")</f>
        <v>Review</v>
      </c>
    </row>
    <row r="118" customFormat="false" ht="15" hidden="false" customHeight="false" outlineLevel="0" collapsed="false">
      <c r="A118" s="67" t="s">
        <v>402</v>
      </c>
      <c r="B118" s="67" t="s">
        <v>403</v>
      </c>
      <c r="C118" s="68" t="n">
        <v>46292</v>
      </c>
      <c r="D118" s="67" t="n">
        <v>18</v>
      </c>
      <c r="E118" s="67" t="s">
        <v>173</v>
      </c>
      <c r="F118" s="67" t="s">
        <v>65</v>
      </c>
      <c r="G118" s="67" t="s">
        <v>60</v>
      </c>
      <c r="H118" s="67" t="s">
        <v>113</v>
      </c>
      <c r="I118" s="67" t="s">
        <v>103</v>
      </c>
      <c r="J118" s="67" t="n">
        <v>48</v>
      </c>
      <c r="K118" s="69" t="n">
        <v>1.3</v>
      </c>
      <c r="L118" s="70" t="n">
        <v>81794</v>
      </c>
      <c r="M118" s="67" t="s">
        <v>169</v>
      </c>
      <c r="N118" s="67" t="s">
        <v>170</v>
      </c>
      <c r="O118" s="67" t="n">
        <v>5</v>
      </c>
      <c r="P118" s="67" t="s">
        <v>112</v>
      </c>
      <c r="Q118" s="71" t="n">
        <f aca="false">MONTH(C118)</f>
        <v>9</v>
      </c>
      <c r="R118" s="72" t="str">
        <f aca="false">IF(D118&lt;=14,"1–14",IF(D118&lt;=24,"15–24",IF(D118&lt;=44,"25–44",IF(D118&lt;=64,"45–64","65+"))))</f>
        <v>15–24</v>
      </c>
      <c r="S118" s="72" t="str">
        <f aca="false">IF(J118&lt;=30,"Up to 30",IF(J118&lt;=60,"31–60",IF(J118&lt;=90,"61–90","Over 90")))</f>
        <v>31–60</v>
      </c>
      <c r="T118" s="71" t="n">
        <f aca="false">IF(J118&gt;'Scenario Lab'!$C$5,1,0)</f>
        <v>0</v>
      </c>
      <c r="U118" s="71" t="n">
        <f aca="false">IF(M118="Yes",1,0)</f>
        <v>0</v>
      </c>
      <c r="V118" s="71" t="n">
        <f aca="false">IF(AND(M118="Yes",N118="Yes"),1,0)</f>
        <v>0</v>
      </c>
      <c r="W118" s="72" t="str">
        <f aca="false">IF(AND(G118="Maternal Health",E118="Male",D118&gt;=15),"Review","OK")</f>
        <v>OK</v>
      </c>
    </row>
    <row r="119" customFormat="false" ht="15" hidden="false" customHeight="false" outlineLevel="0" collapsed="false">
      <c r="A119" s="67" t="s">
        <v>404</v>
      </c>
      <c r="B119" s="67" t="s">
        <v>405</v>
      </c>
      <c r="C119" s="68" t="n">
        <v>46089</v>
      </c>
      <c r="D119" s="67" t="n">
        <v>3</v>
      </c>
      <c r="E119" s="67" t="s">
        <v>173</v>
      </c>
      <c r="F119" s="67" t="s">
        <v>59</v>
      </c>
      <c r="G119" s="67" t="s">
        <v>66</v>
      </c>
      <c r="H119" s="67" t="s">
        <v>64</v>
      </c>
      <c r="I119" s="67" t="s">
        <v>104</v>
      </c>
      <c r="J119" s="67" t="n">
        <v>53</v>
      </c>
      <c r="K119" s="69" t="n">
        <v>0.4</v>
      </c>
      <c r="L119" s="70" t="n">
        <v>57783</v>
      </c>
      <c r="M119" s="67" t="s">
        <v>169</v>
      </c>
      <c r="N119" s="67" t="s">
        <v>170</v>
      </c>
      <c r="O119" s="67" t="n">
        <v>4</v>
      </c>
      <c r="P119" s="67" t="s">
        <v>166</v>
      </c>
      <c r="Q119" s="71" t="n">
        <f aca="false">MONTH(C119)</f>
        <v>3</v>
      </c>
      <c r="R119" s="72" t="str">
        <f aca="false">IF(D119&lt;=14,"1–14",IF(D119&lt;=24,"15–24",IF(D119&lt;=44,"25–44",IF(D119&lt;=64,"45–64","65+"))))</f>
        <v>1–14</v>
      </c>
      <c r="S119" s="72" t="str">
        <f aca="false">IF(J119&lt;=30,"Up to 30",IF(J119&lt;=60,"31–60",IF(J119&lt;=90,"61–90","Over 90")))</f>
        <v>31–60</v>
      </c>
      <c r="T119" s="71" t="n">
        <f aca="false">IF(J119&gt;'Scenario Lab'!$C$5,1,0)</f>
        <v>0</v>
      </c>
      <c r="U119" s="71" t="n">
        <f aca="false">IF(M119="Yes",1,0)</f>
        <v>0</v>
      </c>
      <c r="V119" s="71" t="n">
        <f aca="false">IF(AND(M119="Yes",N119="Yes"),1,0)</f>
        <v>0</v>
      </c>
      <c r="W119" s="72" t="str">
        <f aca="false">IF(AND(G119="Maternal Health",E119="Male",D119&gt;=15),"Review","OK")</f>
        <v>OK</v>
      </c>
    </row>
    <row r="120" customFormat="false" ht="15" hidden="false" customHeight="false" outlineLevel="0" collapsed="false">
      <c r="A120" s="67" t="s">
        <v>406</v>
      </c>
      <c r="B120" s="67" t="s">
        <v>407</v>
      </c>
      <c r="C120" s="68" t="n">
        <v>46151</v>
      </c>
      <c r="D120" s="67" t="n">
        <v>17</v>
      </c>
      <c r="E120" s="67" t="s">
        <v>164</v>
      </c>
      <c r="F120" s="67" t="s">
        <v>61</v>
      </c>
      <c r="G120" s="67" t="s">
        <v>58</v>
      </c>
      <c r="H120" s="67" t="s">
        <v>58</v>
      </c>
      <c r="I120" s="67" t="s">
        <v>109</v>
      </c>
      <c r="J120" s="67" t="n">
        <v>69</v>
      </c>
      <c r="K120" s="69" t="n">
        <v>1.8</v>
      </c>
      <c r="L120" s="70" t="n">
        <v>103779</v>
      </c>
      <c r="M120" s="67" t="s">
        <v>169</v>
      </c>
      <c r="N120" s="67" t="s">
        <v>170</v>
      </c>
      <c r="O120" s="67" t="n">
        <v>5</v>
      </c>
      <c r="P120" s="67" t="s">
        <v>180</v>
      </c>
      <c r="Q120" s="71" t="n">
        <f aca="false">MONTH(C120)</f>
        <v>5</v>
      </c>
      <c r="R120" s="72" t="str">
        <f aca="false">IF(D120&lt;=14,"1–14",IF(D120&lt;=24,"15–24",IF(D120&lt;=44,"25–44",IF(D120&lt;=64,"45–64","65+"))))</f>
        <v>15–24</v>
      </c>
      <c r="S120" s="72" t="str">
        <f aca="false">IF(J120&lt;=30,"Up to 30",IF(J120&lt;=60,"31–60",IF(J120&lt;=90,"61–90","Over 90")))</f>
        <v>61–90</v>
      </c>
      <c r="T120" s="71" t="n">
        <f aca="false">IF(J120&gt;'Scenario Lab'!$C$5,1,0)</f>
        <v>1</v>
      </c>
      <c r="U120" s="71" t="n">
        <f aca="false">IF(M120="Yes",1,0)</f>
        <v>0</v>
      </c>
      <c r="V120" s="71" t="n">
        <f aca="false">IF(AND(M120="Yes",N120="Yes"),1,0)</f>
        <v>0</v>
      </c>
      <c r="W120" s="72" t="str">
        <f aca="false">IF(AND(G120="Maternal Health",E120="Male",D120&gt;=15),"Review","OK")</f>
        <v>OK</v>
      </c>
    </row>
    <row r="121" customFormat="false" ht="15" hidden="false" customHeight="false" outlineLevel="0" collapsed="false">
      <c r="A121" s="67" t="s">
        <v>408</v>
      </c>
      <c r="B121" s="67" t="s">
        <v>409</v>
      </c>
      <c r="C121" s="68" t="n">
        <v>46195</v>
      </c>
      <c r="D121" s="67" t="n">
        <v>50</v>
      </c>
      <c r="E121" s="67" t="s">
        <v>173</v>
      </c>
      <c r="F121" s="67" t="s">
        <v>67</v>
      </c>
      <c r="G121" s="67" t="s">
        <v>60</v>
      </c>
      <c r="H121" s="67" t="s">
        <v>58</v>
      </c>
      <c r="I121" s="67" t="s">
        <v>105</v>
      </c>
      <c r="J121" s="67" t="n">
        <v>44</v>
      </c>
      <c r="K121" s="69" t="n">
        <v>0</v>
      </c>
      <c r="L121" s="70" t="n">
        <v>61536</v>
      </c>
      <c r="M121" s="67" t="s">
        <v>169</v>
      </c>
      <c r="N121" s="67" t="s">
        <v>170</v>
      </c>
      <c r="O121" s="67" t="n">
        <v>4</v>
      </c>
      <c r="P121" s="67" t="s">
        <v>112</v>
      </c>
      <c r="Q121" s="71" t="n">
        <f aca="false">MONTH(C121)</f>
        <v>6</v>
      </c>
      <c r="R121" s="72" t="str">
        <f aca="false">IF(D121&lt;=14,"1–14",IF(D121&lt;=24,"15–24",IF(D121&lt;=44,"25–44",IF(D121&lt;=64,"45–64","65+"))))</f>
        <v>45–64</v>
      </c>
      <c r="S121" s="72" t="str">
        <f aca="false">IF(J121&lt;=30,"Up to 30",IF(J121&lt;=60,"31–60",IF(J121&lt;=90,"61–90","Over 90")))</f>
        <v>31–60</v>
      </c>
      <c r="T121" s="71" t="n">
        <f aca="false">IF(J121&gt;'Scenario Lab'!$C$5,1,0)</f>
        <v>0</v>
      </c>
      <c r="U121" s="71" t="n">
        <f aca="false">IF(M121="Yes",1,0)</f>
        <v>0</v>
      </c>
      <c r="V121" s="71" t="n">
        <f aca="false">IF(AND(M121="Yes",N121="Yes"),1,0)</f>
        <v>0</v>
      </c>
      <c r="W121" s="72" t="str">
        <f aca="false">IF(AND(G121="Maternal Health",E121="Male",D121&gt;=15),"Review","OK")</f>
        <v>OK</v>
      </c>
    </row>
    <row r="122" customFormat="false" ht="15" hidden="false" customHeight="false" outlineLevel="0" collapsed="false">
      <c r="A122" s="67" t="s">
        <v>410</v>
      </c>
      <c r="B122" s="67" t="s">
        <v>411</v>
      </c>
      <c r="C122" s="68" t="n">
        <v>46171</v>
      </c>
      <c r="D122" s="67" t="n">
        <v>3</v>
      </c>
      <c r="E122" s="67" t="s">
        <v>164</v>
      </c>
      <c r="F122" s="67" t="s">
        <v>59</v>
      </c>
      <c r="G122" s="67" t="s">
        <v>64</v>
      </c>
      <c r="H122" s="67" t="s">
        <v>64</v>
      </c>
      <c r="I122" s="67" t="s">
        <v>103</v>
      </c>
      <c r="J122" s="67" t="n">
        <v>23</v>
      </c>
      <c r="K122" s="69" t="n">
        <v>1.1</v>
      </c>
      <c r="L122" s="70" t="n">
        <v>36975</v>
      </c>
      <c r="M122" s="67" t="s">
        <v>165</v>
      </c>
      <c r="N122" s="67" t="s">
        <v>165</v>
      </c>
      <c r="O122" s="67" t="n">
        <v>4</v>
      </c>
      <c r="P122" s="67" t="s">
        <v>166</v>
      </c>
      <c r="Q122" s="71" t="n">
        <f aca="false">MONTH(C122)</f>
        <v>5</v>
      </c>
      <c r="R122" s="72" t="str">
        <f aca="false">IF(D122&lt;=14,"1–14",IF(D122&lt;=24,"15–24",IF(D122&lt;=44,"25–44",IF(D122&lt;=64,"45–64","65+"))))</f>
        <v>1–14</v>
      </c>
      <c r="S122" s="72" t="str">
        <f aca="false">IF(J122&lt;=30,"Up to 30",IF(J122&lt;=60,"31–60",IF(J122&lt;=90,"61–90","Over 90")))</f>
        <v>Up to 30</v>
      </c>
      <c r="T122" s="71" t="n">
        <f aca="false">IF(J122&gt;'Scenario Lab'!$C$5,1,0)</f>
        <v>0</v>
      </c>
      <c r="U122" s="71" t="n">
        <f aca="false">IF(M122="Yes",1,0)</f>
        <v>1</v>
      </c>
      <c r="V122" s="71" t="n">
        <f aca="false">IF(AND(M122="Yes",N122="Yes"),1,0)</f>
        <v>1</v>
      </c>
      <c r="W122" s="72" t="str">
        <f aca="false">IF(AND(G122="Maternal Health",E122="Male",D122&gt;=15),"Review","OK")</f>
        <v>OK</v>
      </c>
    </row>
    <row r="123" customFormat="false" ht="15" hidden="false" customHeight="false" outlineLevel="0" collapsed="false">
      <c r="A123" s="67" t="s">
        <v>412</v>
      </c>
      <c r="B123" s="67" t="s">
        <v>413</v>
      </c>
      <c r="C123" s="68" t="n">
        <v>46186</v>
      </c>
      <c r="D123" s="67" t="n">
        <v>43</v>
      </c>
      <c r="E123" s="67" t="s">
        <v>173</v>
      </c>
      <c r="F123" s="67" t="s">
        <v>61</v>
      </c>
      <c r="G123" s="67" t="s">
        <v>62</v>
      </c>
      <c r="H123" s="67" t="s">
        <v>58</v>
      </c>
      <c r="I123" s="67" t="s">
        <v>108</v>
      </c>
      <c r="J123" s="67" t="n">
        <v>66</v>
      </c>
      <c r="K123" s="69" t="n">
        <v>1.7</v>
      </c>
      <c r="L123" s="70" t="n">
        <v>108465</v>
      </c>
      <c r="M123" s="67" t="s">
        <v>165</v>
      </c>
      <c r="N123" s="67" t="s">
        <v>165</v>
      </c>
      <c r="O123" s="67" t="n">
        <v>4</v>
      </c>
      <c r="P123" s="67" t="s">
        <v>166</v>
      </c>
      <c r="Q123" s="71" t="n">
        <f aca="false">MONTH(C123)</f>
        <v>6</v>
      </c>
      <c r="R123" s="72" t="str">
        <f aca="false">IF(D123&lt;=14,"1–14",IF(D123&lt;=24,"15–24",IF(D123&lt;=44,"25–44",IF(D123&lt;=64,"45–64","65+"))))</f>
        <v>25–44</v>
      </c>
      <c r="S123" s="72" t="str">
        <f aca="false">IF(J123&lt;=30,"Up to 30",IF(J123&lt;=60,"31–60",IF(J123&lt;=90,"61–90","Over 90")))</f>
        <v>61–90</v>
      </c>
      <c r="T123" s="71" t="n">
        <f aca="false">IF(J123&gt;'Scenario Lab'!$C$5,1,0)</f>
        <v>1</v>
      </c>
      <c r="U123" s="71" t="n">
        <f aca="false">IF(M123="Yes",1,0)</f>
        <v>1</v>
      </c>
      <c r="V123" s="71" t="n">
        <f aca="false">IF(AND(M123="Yes",N123="Yes"),1,0)</f>
        <v>1</v>
      </c>
      <c r="W123" s="72" t="str">
        <f aca="false">IF(AND(G123="Maternal Health",E123="Male",D123&gt;=15),"Review","OK")</f>
        <v>Review</v>
      </c>
    </row>
    <row r="124" customFormat="false" ht="15" hidden="false" customHeight="false" outlineLevel="0" collapsed="false">
      <c r="A124" s="67" t="s">
        <v>414</v>
      </c>
      <c r="B124" s="67" t="s">
        <v>415</v>
      </c>
      <c r="C124" s="68" t="n">
        <v>46237</v>
      </c>
      <c r="D124" s="67" t="n">
        <v>26</v>
      </c>
      <c r="E124" s="67" t="s">
        <v>173</v>
      </c>
      <c r="F124" s="67" t="s">
        <v>67</v>
      </c>
      <c r="G124" s="67" t="s">
        <v>68</v>
      </c>
      <c r="H124" s="67" t="s">
        <v>58</v>
      </c>
      <c r="I124" s="67" t="s">
        <v>109</v>
      </c>
      <c r="J124" s="67" t="n">
        <v>31</v>
      </c>
      <c r="K124" s="69" t="n">
        <v>0.7</v>
      </c>
      <c r="L124" s="70" t="n">
        <v>208225</v>
      </c>
      <c r="M124" s="67" t="s">
        <v>165</v>
      </c>
      <c r="N124" s="67" t="s">
        <v>165</v>
      </c>
      <c r="O124" s="67" t="n">
        <v>5</v>
      </c>
      <c r="P124" s="67" t="s">
        <v>166</v>
      </c>
      <c r="Q124" s="71" t="n">
        <f aca="false">MONTH(C124)</f>
        <v>8</v>
      </c>
      <c r="R124" s="72" t="str">
        <f aca="false">IF(D124&lt;=14,"1–14",IF(D124&lt;=24,"15–24",IF(D124&lt;=44,"25–44",IF(D124&lt;=64,"45–64","65+"))))</f>
        <v>25–44</v>
      </c>
      <c r="S124" s="72" t="str">
        <f aca="false">IF(J124&lt;=30,"Up to 30",IF(J124&lt;=60,"31–60",IF(J124&lt;=90,"61–90","Over 90")))</f>
        <v>31–60</v>
      </c>
      <c r="T124" s="71" t="n">
        <f aca="false">IF(J124&gt;'Scenario Lab'!$C$5,1,0)</f>
        <v>0</v>
      </c>
      <c r="U124" s="71" t="n">
        <f aca="false">IF(M124="Yes",1,0)</f>
        <v>1</v>
      </c>
      <c r="V124" s="71" t="n">
        <f aca="false">IF(AND(M124="Yes",N124="Yes"),1,0)</f>
        <v>1</v>
      </c>
      <c r="W124" s="72" t="str">
        <f aca="false">IF(AND(G124="Maternal Health",E124="Male",D124&gt;=15),"Review","OK")</f>
        <v>OK</v>
      </c>
    </row>
    <row r="125" customFormat="false" ht="15" hidden="false" customHeight="false" outlineLevel="0" collapsed="false">
      <c r="A125" s="67" t="s">
        <v>416</v>
      </c>
      <c r="B125" s="67" t="s">
        <v>417</v>
      </c>
      <c r="C125" s="68" t="n">
        <v>46069</v>
      </c>
      <c r="D125" s="67" t="n">
        <v>43</v>
      </c>
      <c r="E125" s="67" t="s">
        <v>173</v>
      </c>
      <c r="F125" s="67" t="s">
        <v>67</v>
      </c>
      <c r="G125" s="67" t="s">
        <v>60</v>
      </c>
      <c r="H125" s="67" t="s">
        <v>112</v>
      </c>
      <c r="I125" s="67" t="s">
        <v>107</v>
      </c>
      <c r="J125" s="67" t="n">
        <v>40</v>
      </c>
      <c r="K125" s="69" t="n">
        <v>0</v>
      </c>
      <c r="L125" s="70" t="n">
        <v>68565</v>
      </c>
      <c r="M125" s="67" t="s">
        <v>169</v>
      </c>
      <c r="N125" s="67" t="s">
        <v>170</v>
      </c>
      <c r="O125" s="67" t="n">
        <v>4</v>
      </c>
      <c r="P125" s="67" t="s">
        <v>166</v>
      </c>
      <c r="Q125" s="71" t="n">
        <f aca="false">MONTH(C125)</f>
        <v>2</v>
      </c>
      <c r="R125" s="72" t="str">
        <f aca="false">IF(D125&lt;=14,"1–14",IF(D125&lt;=24,"15–24",IF(D125&lt;=44,"25–44",IF(D125&lt;=64,"45–64","65+"))))</f>
        <v>25–44</v>
      </c>
      <c r="S125" s="72" t="str">
        <f aca="false">IF(J125&lt;=30,"Up to 30",IF(J125&lt;=60,"31–60",IF(J125&lt;=90,"61–90","Over 90")))</f>
        <v>31–60</v>
      </c>
      <c r="T125" s="71" t="n">
        <f aca="false">IF(J125&gt;'Scenario Lab'!$C$5,1,0)</f>
        <v>0</v>
      </c>
      <c r="U125" s="71" t="n">
        <f aca="false">IF(M125="Yes",1,0)</f>
        <v>0</v>
      </c>
      <c r="V125" s="71" t="n">
        <f aca="false">IF(AND(M125="Yes",N125="Yes"),1,0)</f>
        <v>0</v>
      </c>
      <c r="W125" s="72" t="str">
        <f aca="false">IF(AND(G125="Maternal Health",E125="Male",D125&gt;=15),"Review","OK")</f>
        <v>OK</v>
      </c>
    </row>
    <row r="126" customFormat="false" ht="15" hidden="false" customHeight="false" outlineLevel="0" collapsed="false">
      <c r="A126" s="67" t="s">
        <v>418</v>
      </c>
      <c r="B126" s="67" t="s">
        <v>419</v>
      </c>
      <c r="C126" s="68" t="n">
        <v>46243</v>
      </c>
      <c r="D126" s="67" t="n">
        <v>1</v>
      </c>
      <c r="E126" s="67" t="s">
        <v>164</v>
      </c>
      <c r="F126" s="67" t="s">
        <v>67</v>
      </c>
      <c r="G126" s="67" t="s">
        <v>64</v>
      </c>
      <c r="H126" s="67" t="s">
        <v>64</v>
      </c>
      <c r="I126" s="67" t="s">
        <v>107</v>
      </c>
      <c r="J126" s="67" t="n">
        <v>33</v>
      </c>
      <c r="K126" s="69" t="n">
        <v>0.8</v>
      </c>
      <c r="L126" s="70" t="n">
        <v>50292</v>
      </c>
      <c r="M126" s="67" t="s">
        <v>165</v>
      </c>
      <c r="N126" s="67" t="s">
        <v>165</v>
      </c>
      <c r="O126" s="67" t="n">
        <v>4</v>
      </c>
      <c r="P126" s="67" t="s">
        <v>180</v>
      </c>
      <c r="Q126" s="71" t="n">
        <f aca="false">MONTH(C126)</f>
        <v>8</v>
      </c>
      <c r="R126" s="72" t="str">
        <f aca="false">IF(D126&lt;=14,"1–14",IF(D126&lt;=24,"15–24",IF(D126&lt;=44,"25–44",IF(D126&lt;=64,"45–64","65+"))))</f>
        <v>1–14</v>
      </c>
      <c r="S126" s="72" t="str">
        <f aca="false">IF(J126&lt;=30,"Up to 30",IF(J126&lt;=60,"31–60",IF(J126&lt;=90,"61–90","Over 90")))</f>
        <v>31–60</v>
      </c>
      <c r="T126" s="71" t="n">
        <f aca="false">IF(J126&gt;'Scenario Lab'!$C$5,1,0)</f>
        <v>0</v>
      </c>
      <c r="U126" s="71" t="n">
        <f aca="false">IF(M126="Yes",1,0)</f>
        <v>1</v>
      </c>
      <c r="V126" s="71" t="n">
        <f aca="false">IF(AND(M126="Yes",N126="Yes"),1,0)</f>
        <v>1</v>
      </c>
      <c r="W126" s="72" t="str">
        <f aca="false">IF(AND(G126="Maternal Health",E126="Male",D126&gt;=15),"Review","OK")</f>
        <v>OK</v>
      </c>
    </row>
    <row r="127" customFormat="false" ht="15" hidden="false" customHeight="false" outlineLevel="0" collapsed="false">
      <c r="A127" s="67" t="s">
        <v>420</v>
      </c>
      <c r="B127" s="67" t="s">
        <v>421</v>
      </c>
      <c r="C127" s="68" t="n">
        <v>46083</v>
      </c>
      <c r="D127" s="67" t="n">
        <v>34</v>
      </c>
      <c r="E127" s="67" t="s">
        <v>173</v>
      </c>
      <c r="F127" s="67" t="s">
        <v>61</v>
      </c>
      <c r="G127" s="67" t="s">
        <v>60</v>
      </c>
      <c r="H127" s="67" t="s">
        <v>64</v>
      </c>
      <c r="I127" s="67" t="s">
        <v>107</v>
      </c>
      <c r="J127" s="67" t="n">
        <v>63</v>
      </c>
      <c r="K127" s="69" t="n">
        <v>1.1</v>
      </c>
      <c r="L127" s="70" t="n">
        <v>63638</v>
      </c>
      <c r="M127" s="67" t="s">
        <v>165</v>
      </c>
      <c r="N127" s="67" t="s">
        <v>165</v>
      </c>
      <c r="O127" s="67" t="n">
        <v>4</v>
      </c>
      <c r="P127" s="67" t="s">
        <v>166</v>
      </c>
      <c r="Q127" s="71" t="n">
        <f aca="false">MONTH(C127)</f>
        <v>3</v>
      </c>
      <c r="R127" s="72" t="str">
        <f aca="false">IF(D127&lt;=14,"1–14",IF(D127&lt;=24,"15–24",IF(D127&lt;=44,"25–44",IF(D127&lt;=64,"45–64","65+"))))</f>
        <v>25–44</v>
      </c>
      <c r="S127" s="72" t="str">
        <f aca="false">IF(J127&lt;=30,"Up to 30",IF(J127&lt;=60,"31–60",IF(J127&lt;=90,"61–90","Over 90")))</f>
        <v>61–90</v>
      </c>
      <c r="T127" s="71" t="n">
        <f aca="false">IF(J127&gt;'Scenario Lab'!$C$5,1,0)</f>
        <v>1</v>
      </c>
      <c r="U127" s="71" t="n">
        <f aca="false">IF(M127="Yes",1,0)</f>
        <v>1</v>
      </c>
      <c r="V127" s="71" t="n">
        <f aca="false">IF(AND(M127="Yes",N127="Yes"),1,0)</f>
        <v>1</v>
      </c>
      <c r="W127" s="72" t="str">
        <f aca="false">IF(AND(G127="Maternal Health",E127="Male",D127&gt;=15),"Review","OK")</f>
        <v>OK</v>
      </c>
    </row>
    <row r="128" customFormat="false" ht="15" hidden="false" customHeight="false" outlineLevel="0" collapsed="false">
      <c r="A128" s="67" t="s">
        <v>422</v>
      </c>
      <c r="B128" s="67" t="s">
        <v>423</v>
      </c>
      <c r="C128" s="68" t="n">
        <v>46265</v>
      </c>
      <c r="D128" s="67" t="n">
        <v>51</v>
      </c>
      <c r="E128" s="67" t="s">
        <v>173</v>
      </c>
      <c r="F128" s="67" t="s">
        <v>67</v>
      </c>
      <c r="G128" s="67" t="s">
        <v>60</v>
      </c>
      <c r="H128" s="67" t="s">
        <v>113</v>
      </c>
      <c r="I128" s="67" t="s">
        <v>104</v>
      </c>
      <c r="J128" s="67" t="n">
        <v>56</v>
      </c>
      <c r="K128" s="69" t="n">
        <v>0</v>
      </c>
      <c r="L128" s="70" t="n">
        <v>40775</v>
      </c>
      <c r="M128" s="67" t="s">
        <v>165</v>
      </c>
      <c r="N128" s="67" t="s">
        <v>165</v>
      </c>
      <c r="O128" s="67" t="n">
        <v>4</v>
      </c>
      <c r="P128" s="67" t="s">
        <v>166</v>
      </c>
      <c r="Q128" s="71" t="n">
        <f aca="false">MONTH(C128)</f>
        <v>8</v>
      </c>
      <c r="R128" s="72" t="str">
        <f aca="false">IF(D128&lt;=14,"1–14",IF(D128&lt;=24,"15–24",IF(D128&lt;=44,"25–44",IF(D128&lt;=64,"45–64","65+"))))</f>
        <v>45–64</v>
      </c>
      <c r="S128" s="72" t="str">
        <f aca="false">IF(J128&lt;=30,"Up to 30",IF(J128&lt;=60,"31–60",IF(J128&lt;=90,"61–90","Over 90")))</f>
        <v>31–60</v>
      </c>
      <c r="T128" s="71" t="n">
        <f aca="false">IF(J128&gt;'Scenario Lab'!$C$5,1,0)</f>
        <v>0</v>
      </c>
      <c r="U128" s="71" t="n">
        <f aca="false">IF(M128="Yes",1,0)</f>
        <v>1</v>
      </c>
      <c r="V128" s="71" t="n">
        <f aca="false">IF(AND(M128="Yes",N128="Yes"),1,0)</f>
        <v>1</v>
      </c>
      <c r="W128" s="72" t="str">
        <f aca="false">IF(AND(G128="Maternal Health",E128="Male",D128&gt;=15),"Review","OK")</f>
        <v>OK</v>
      </c>
    </row>
    <row r="129" customFormat="false" ht="15" hidden="false" customHeight="false" outlineLevel="0" collapsed="false">
      <c r="A129" s="67" t="s">
        <v>424</v>
      </c>
      <c r="B129" s="67" t="s">
        <v>425</v>
      </c>
      <c r="C129" s="68" t="n">
        <v>46176</v>
      </c>
      <c r="D129" s="67" t="n">
        <v>19</v>
      </c>
      <c r="E129" s="67" t="s">
        <v>173</v>
      </c>
      <c r="F129" s="67" t="s">
        <v>67</v>
      </c>
      <c r="G129" s="67" t="s">
        <v>58</v>
      </c>
      <c r="H129" s="67" t="s">
        <v>58</v>
      </c>
      <c r="I129" s="67" t="s">
        <v>109</v>
      </c>
      <c r="J129" s="67" t="n">
        <v>99</v>
      </c>
      <c r="K129" s="69" t="n">
        <v>1.3</v>
      </c>
      <c r="L129" s="70" t="n">
        <v>133854</v>
      </c>
      <c r="M129" s="67" t="s">
        <v>165</v>
      </c>
      <c r="N129" s="67" t="s">
        <v>165</v>
      </c>
      <c r="O129" s="67" t="n">
        <v>3</v>
      </c>
      <c r="P129" s="67" t="s">
        <v>166</v>
      </c>
      <c r="Q129" s="71" t="n">
        <f aca="false">MONTH(C129)</f>
        <v>6</v>
      </c>
      <c r="R129" s="72" t="str">
        <f aca="false">IF(D129&lt;=14,"1–14",IF(D129&lt;=24,"15–24",IF(D129&lt;=44,"25–44",IF(D129&lt;=64,"45–64","65+"))))</f>
        <v>15–24</v>
      </c>
      <c r="S129" s="72" t="str">
        <f aca="false">IF(J129&lt;=30,"Up to 30",IF(J129&lt;=60,"31–60",IF(J129&lt;=90,"61–90","Over 90")))</f>
        <v>Over 90</v>
      </c>
      <c r="T129" s="71" t="n">
        <f aca="false">IF(J129&gt;'Scenario Lab'!$C$5,1,0)</f>
        <v>1</v>
      </c>
      <c r="U129" s="71" t="n">
        <f aca="false">IF(M129="Yes",1,0)</f>
        <v>1</v>
      </c>
      <c r="V129" s="71" t="n">
        <f aca="false">IF(AND(M129="Yes",N129="Yes"),1,0)</f>
        <v>1</v>
      </c>
      <c r="W129" s="72" t="str">
        <f aca="false">IF(AND(G129="Maternal Health",E129="Male",D129&gt;=15),"Review","OK")</f>
        <v>OK</v>
      </c>
    </row>
    <row r="130" customFormat="false" ht="15" hidden="false" customHeight="false" outlineLevel="0" collapsed="false">
      <c r="A130" s="67" t="s">
        <v>426</v>
      </c>
      <c r="B130" s="67" t="s">
        <v>427</v>
      </c>
      <c r="C130" s="68" t="n">
        <v>46139</v>
      </c>
      <c r="D130" s="67" t="n">
        <v>16</v>
      </c>
      <c r="E130" s="67" t="s">
        <v>173</v>
      </c>
      <c r="F130" s="67" t="s">
        <v>67</v>
      </c>
      <c r="G130" s="67" t="s">
        <v>58</v>
      </c>
      <c r="H130" s="67" t="s">
        <v>58</v>
      </c>
      <c r="I130" s="67" t="s">
        <v>108</v>
      </c>
      <c r="J130" s="67" t="n">
        <v>73</v>
      </c>
      <c r="K130" s="69" t="n">
        <v>3.3</v>
      </c>
      <c r="L130" s="70" t="n">
        <v>145888</v>
      </c>
      <c r="M130" s="67" t="s">
        <v>165</v>
      </c>
      <c r="N130" s="67" t="s">
        <v>165</v>
      </c>
      <c r="O130" s="67" t="n">
        <v>3</v>
      </c>
      <c r="P130" s="67" t="s">
        <v>285</v>
      </c>
      <c r="Q130" s="71" t="n">
        <f aca="false">MONTH(C130)</f>
        <v>4</v>
      </c>
      <c r="R130" s="72" t="str">
        <f aca="false">IF(D130&lt;=14,"1–14",IF(D130&lt;=24,"15–24",IF(D130&lt;=44,"25–44",IF(D130&lt;=64,"45–64","65+"))))</f>
        <v>15–24</v>
      </c>
      <c r="S130" s="72" t="str">
        <f aca="false">IF(J130&lt;=30,"Up to 30",IF(J130&lt;=60,"31–60",IF(J130&lt;=90,"61–90","Over 90")))</f>
        <v>61–90</v>
      </c>
      <c r="T130" s="71" t="n">
        <f aca="false">IF(J130&gt;'Scenario Lab'!$C$5,1,0)</f>
        <v>1</v>
      </c>
      <c r="U130" s="71" t="n">
        <f aca="false">IF(M130="Yes",1,0)</f>
        <v>1</v>
      </c>
      <c r="V130" s="71" t="n">
        <f aca="false">IF(AND(M130="Yes",N130="Yes"),1,0)</f>
        <v>1</v>
      </c>
      <c r="W130" s="72" t="str">
        <f aca="false">IF(AND(G130="Maternal Health",E130="Male",D130&gt;=15),"Review","OK")</f>
        <v>OK</v>
      </c>
    </row>
    <row r="131" customFormat="false" ht="15" hidden="false" customHeight="false" outlineLevel="0" collapsed="false">
      <c r="A131" s="67" t="s">
        <v>428</v>
      </c>
      <c r="B131" s="67" t="s">
        <v>429</v>
      </c>
      <c r="C131" s="68" t="n">
        <v>46127</v>
      </c>
      <c r="D131" s="67" t="n">
        <v>58</v>
      </c>
      <c r="E131" s="67" t="s">
        <v>173</v>
      </c>
      <c r="F131" s="67" t="s">
        <v>63</v>
      </c>
      <c r="G131" s="67" t="s">
        <v>68</v>
      </c>
      <c r="H131" s="67" t="s">
        <v>113</v>
      </c>
      <c r="I131" s="67" t="s">
        <v>107</v>
      </c>
      <c r="J131" s="67" t="n">
        <v>60</v>
      </c>
      <c r="K131" s="69" t="n">
        <v>1.1</v>
      </c>
      <c r="L131" s="70" t="n">
        <v>221617</v>
      </c>
      <c r="M131" s="67" t="s">
        <v>165</v>
      </c>
      <c r="N131" s="67" t="s">
        <v>165</v>
      </c>
      <c r="O131" s="67" t="n">
        <v>4</v>
      </c>
      <c r="P131" s="67" t="s">
        <v>166</v>
      </c>
      <c r="Q131" s="71" t="n">
        <f aca="false">MONTH(C131)</f>
        <v>4</v>
      </c>
      <c r="R131" s="72" t="str">
        <f aca="false">IF(D131&lt;=14,"1–14",IF(D131&lt;=24,"15–24",IF(D131&lt;=44,"25–44",IF(D131&lt;=64,"45–64","65+"))))</f>
        <v>45–64</v>
      </c>
      <c r="S131" s="72" t="str">
        <f aca="false">IF(J131&lt;=30,"Up to 30",IF(J131&lt;=60,"31–60",IF(J131&lt;=90,"61–90","Over 90")))</f>
        <v>31–60</v>
      </c>
      <c r="T131" s="71" t="n">
        <f aca="false">IF(J131&gt;'Scenario Lab'!$C$5,1,0)</f>
        <v>0</v>
      </c>
      <c r="U131" s="71" t="n">
        <f aca="false">IF(M131="Yes",1,0)</f>
        <v>1</v>
      </c>
      <c r="V131" s="71" t="n">
        <f aca="false">IF(AND(M131="Yes",N131="Yes"),1,0)</f>
        <v>1</v>
      </c>
      <c r="W131" s="72" t="str">
        <f aca="false">IF(AND(G131="Maternal Health",E131="Male",D131&gt;=15),"Review","OK")</f>
        <v>OK</v>
      </c>
    </row>
    <row r="132" customFormat="false" ht="15" hidden="false" customHeight="false" outlineLevel="0" collapsed="false">
      <c r="A132" s="67" t="s">
        <v>430</v>
      </c>
      <c r="B132" s="67" t="s">
        <v>431</v>
      </c>
      <c r="C132" s="68" t="n">
        <v>46295</v>
      </c>
      <c r="D132" s="67" t="n">
        <v>14</v>
      </c>
      <c r="E132" s="67" t="s">
        <v>164</v>
      </c>
      <c r="F132" s="67" t="s">
        <v>63</v>
      </c>
      <c r="G132" s="67" t="s">
        <v>66</v>
      </c>
      <c r="H132" s="67" t="s">
        <v>58</v>
      </c>
      <c r="I132" s="67" t="s">
        <v>109</v>
      </c>
      <c r="J132" s="67" t="n">
        <v>8</v>
      </c>
      <c r="K132" s="69" t="n">
        <v>10.9</v>
      </c>
      <c r="L132" s="70" t="n">
        <v>147546</v>
      </c>
      <c r="M132" s="67" t="s">
        <v>169</v>
      </c>
      <c r="N132" s="67" t="s">
        <v>170</v>
      </c>
      <c r="O132" s="67" t="n">
        <v>5</v>
      </c>
      <c r="P132" s="67" t="s">
        <v>166</v>
      </c>
      <c r="Q132" s="71" t="n">
        <f aca="false">MONTH(C132)</f>
        <v>9</v>
      </c>
      <c r="R132" s="72" t="str">
        <f aca="false">IF(D132&lt;=14,"1–14",IF(D132&lt;=24,"15–24",IF(D132&lt;=44,"25–44",IF(D132&lt;=64,"45–64","65+"))))</f>
        <v>1–14</v>
      </c>
      <c r="S132" s="72" t="str">
        <f aca="false">IF(J132&lt;=30,"Up to 30",IF(J132&lt;=60,"31–60",IF(J132&lt;=90,"61–90","Over 90")))</f>
        <v>Up to 30</v>
      </c>
      <c r="T132" s="71" t="n">
        <f aca="false">IF(J132&gt;'Scenario Lab'!$C$5,1,0)</f>
        <v>0</v>
      </c>
      <c r="U132" s="71" t="n">
        <f aca="false">IF(M132="Yes",1,0)</f>
        <v>0</v>
      </c>
      <c r="V132" s="71" t="n">
        <f aca="false">IF(AND(M132="Yes",N132="Yes"),1,0)</f>
        <v>0</v>
      </c>
      <c r="W132" s="72" t="str">
        <f aca="false">IF(AND(G132="Maternal Health",E132="Male",D132&gt;=15),"Review","OK")</f>
        <v>OK</v>
      </c>
    </row>
    <row r="133" customFormat="false" ht="15" hidden="false" customHeight="false" outlineLevel="0" collapsed="false">
      <c r="A133" s="67" t="s">
        <v>432</v>
      </c>
      <c r="B133" s="67" t="s">
        <v>433</v>
      </c>
      <c r="C133" s="68" t="n">
        <v>46129</v>
      </c>
      <c r="D133" s="67" t="n">
        <v>12</v>
      </c>
      <c r="E133" s="67" t="s">
        <v>173</v>
      </c>
      <c r="F133" s="67" t="s">
        <v>67</v>
      </c>
      <c r="G133" s="67" t="s">
        <v>66</v>
      </c>
      <c r="H133" s="67" t="s">
        <v>58</v>
      </c>
      <c r="I133" s="67" t="s">
        <v>108</v>
      </c>
      <c r="J133" s="67" t="n">
        <v>63</v>
      </c>
      <c r="K133" s="69" t="n">
        <v>0.2</v>
      </c>
      <c r="L133" s="70" t="n">
        <v>37494</v>
      </c>
      <c r="M133" s="67" t="s">
        <v>169</v>
      </c>
      <c r="N133" s="67" t="s">
        <v>170</v>
      </c>
      <c r="O133" s="67" t="n">
        <v>5</v>
      </c>
      <c r="P133" s="67" t="s">
        <v>112</v>
      </c>
      <c r="Q133" s="71" t="n">
        <f aca="false">MONTH(C133)</f>
        <v>4</v>
      </c>
      <c r="R133" s="72" t="str">
        <f aca="false">IF(D133&lt;=14,"1–14",IF(D133&lt;=24,"15–24",IF(D133&lt;=44,"25–44",IF(D133&lt;=64,"45–64","65+"))))</f>
        <v>1–14</v>
      </c>
      <c r="S133" s="72" t="str">
        <f aca="false">IF(J133&lt;=30,"Up to 30",IF(J133&lt;=60,"31–60",IF(J133&lt;=90,"61–90","Over 90")))</f>
        <v>61–90</v>
      </c>
      <c r="T133" s="71" t="n">
        <f aca="false">IF(J133&gt;'Scenario Lab'!$C$5,1,0)</f>
        <v>1</v>
      </c>
      <c r="U133" s="71" t="n">
        <f aca="false">IF(M133="Yes",1,0)</f>
        <v>0</v>
      </c>
      <c r="V133" s="71" t="n">
        <f aca="false">IF(AND(M133="Yes",N133="Yes"),1,0)</f>
        <v>0</v>
      </c>
      <c r="W133" s="72" t="str">
        <f aca="false">IF(AND(G133="Maternal Health",E133="Male",D133&gt;=15),"Review","OK")</f>
        <v>OK</v>
      </c>
    </row>
    <row r="134" customFormat="false" ht="15" hidden="false" customHeight="false" outlineLevel="0" collapsed="false">
      <c r="A134" s="67" t="s">
        <v>434</v>
      </c>
      <c r="B134" s="67" t="s">
        <v>435</v>
      </c>
      <c r="C134" s="68" t="n">
        <v>46171</v>
      </c>
      <c r="D134" s="67" t="n">
        <v>53</v>
      </c>
      <c r="E134" s="67" t="s">
        <v>173</v>
      </c>
      <c r="F134" s="67" t="s">
        <v>61</v>
      </c>
      <c r="G134" s="67" t="s">
        <v>68</v>
      </c>
      <c r="H134" s="67" t="s">
        <v>64</v>
      </c>
      <c r="I134" s="67" t="s">
        <v>104</v>
      </c>
      <c r="J134" s="67" t="n">
        <v>66</v>
      </c>
      <c r="K134" s="69" t="n">
        <v>0.5</v>
      </c>
      <c r="L134" s="70" t="n">
        <v>275076</v>
      </c>
      <c r="M134" s="67" t="s">
        <v>169</v>
      </c>
      <c r="N134" s="67" t="s">
        <v>170</v>
      </c>
      <c r="O134" s="67" t="n">
        <v>4</v>
      </c>
      <c r="P134" s="67" t="s">
        <v>180</v>
      </c>
      <c r="Q134" s="71" t="n">
        <f aca="false">MONTH(C134)</f>
        <v>5</v>
      </c>
      <c r="R134" s="72" t="str">
        <f aca="false">IF(D134&lt;=14,"1–14",IF(D134&lt;=24,"15–24",IF(D134&lt;=44,"25–44",IF(D134&lt;=64,"45–64","65+"))))</f>
        <v>45–64</v>
      </c>
      <c r="S134" s="72" t="str">
        <f aca="false">IF(J134&lt;=30,"Up to 30",IF(J134&lt;=60,"31–60",IF(J134&lt;=90,"61–90","Over 90")))</f>
        <v>61–90</v>
      </c>
      <c r="T134" s="71" t="n">
        <f aca="false">IF(J134&gt;'Scenario Lab'!$C$5,1,0)</f>
        <v>1</v>
      </c>
      <c r="U134" s="71" t="n">
        <f aca="false">IF(M134="Yes",1,0)</f>
        <v>0</v>
      </c>
      <c r="V134" s="71" t="n">
        <f aca="false">IF(AND(M134="Yes",N134="Yes"),1,0)</f>
        <v>0</v>
      </c>
      <c r="W134" s="72" t="str">
        <f aca="false">IF(AND(G134="Maternal Health",E134="Male",D134&gt;=15),"Review","OK")</f>
        <v>OK</v>
      </c>
    </row>
    <row r="135" customFormat="false" ht="15" hidden="false" customHeight="false" outlineLevel="0" collapsed="false">
      <c r="A135" s="67" t="s">
        <v>436</v>
      </c>
      <c r="B135" s="67" t="s">
        <v>437</v>
      </c>
      <c r="C135" s="68" t="n">
        <v>46145</v>
      </c>
      <c r="D135" s="67" t="n">
        <v>43</v>
      </c>
      <c r="E135" s="67" t="s">
        <v>173</v>
      </c>
      <c r="F135" s="67" t="s">
        <v>61</v>
      </c>
      <c r="G135" s="67" t="s">
        <v>60</v>
      </c>
      <c r="H135" s="67" t="s">
        <v>112</v>
      </c>
      <c r="I135" s="67" t="s">
        <v>107</v>
      </c>
      <c r="J135" s="67" t="n">
        <v>46</v>
      </c>
      <c r="K135" s="69" t="n">
        <v>2.8</v>
      </c>
      <c r="L135" s="70" t="n">
        <v>91441</v>
      </c>
      <c r="M135" s="67" t="s">
        <v>165</v>
      </c>
      <c r="N135" s="67" t="s">
        <v>165</v>
      </c>
      <c r="O135" s="67" t="n">
        <v>5</v>
      </c>
      <c r="P135" s="67" t="s">
        <v>112</v>
      </c>
      <c r="Q135" s="71" t="n">
        <f aca="false">MONTH(C135)</f>
        <v>5</v>
      </c>
      <c r="R135" s="72" t="str">
        <f aca="false">IF(D135&lt;=14,"1–14",IF(D135&lt;=24,"15–24",IF(D135&lt;=44,"25–44",IF(D135&lt;=64,"45–64","65+"))))</f>
        <v>25–44</v>
      </c>
      <c r="S135" s="72" t="str">
        <f aca="false">IF(J135&lt;=30,"Up to 30",IF(J135&lt;=60,"31–60",IF(J135&lt;=90,"61–90","Over 90")))</f>
        <v>31–60</v>
      </c>
      <c r="T135" s="71" t="n">
        <f aca="false">IF(J135&gt;'Scenario Lab'!$C$5,1,0)</f>
        <v>0</v>
      </c>
      <c r="U135" s="71" t="n">
        <f aca="false">IF(M135="Yes",1,0)</f>
        <v>1</v>
      </c>
      <c r="V135" s="71" t="n">
        <f aca="false">IF(AND(M135="Yes",N135="Yes"),1,0)</f>
        <v>1</v>
      </c>
      <c r="W135" s="72" t="str">
        <f aca="false">IF(AND(G135="Maternal Health",E135="Male",D135&gt;=15),"Review","OK")</f>
        <v>OK</v>
      </c>
    </row>
    <row r="136" customFormat="false" ht="15" hidden="false" customHeight="false" outlineLevel="0" collapsed="false">
      <c r="A136" s="67" t="s">
        <v>438</v>
      </c>
      <c r="B136" s="67" t="s">
        <v>439</v>
      </c>
      <c r="C136" s="68" t="n">
        <v>46103</v>
      </c>
      <c r="D136" s="67" t="n">
        <v>24</v>
      </c>
      <c r="E136" s="67" t="s">
        <v>164</v>
      </c>
      <c r="F136" s="67" t="s">
        <v>59</v>
      </c>
      <c r="G136" s="67" t="s">
        <v>60</v>
      </c>
      <c r="H136" s="67" t="s">
        <v>64</v>
      </c>
      <c r="I136" s="67" t="s">
        <v>109</v>
      </c>
      <c r="J136" s="67" t="n">
        <v>30</v>
      </c>
      <c r="K136" s="69" t="n">
        <v>0.8</v>
      </c>
      <c r="L136" s="70" t="n">
        <v>63242</v>
      </c>
      <c r="M136" s="67" t="s">
        <v>169</v>
      </c>
      <c r="N136" s="67" t="s">
        <v>170</v>
      </c>
      <c r="O136" s="67" t="n">
        <v>4</v>
      </c>
      <c r="P136" s="67" t="s">
        <v>285</v>
      </c>
      <c r="Q136" s="71" t="n">
        <f aca="false">MONTH(C136)</f>
        <v>3</v>
      </c>
      <c r="R136" s="72" t="str">
        <f aca="false">IF(D136&lt;=14,"1–14",IF(D136&lt;=24,"15–24",IF(D136&lt;=44,"25–44",IF(D136&lt;=64,"45–64","65+"))))</f>
        <v>15–24</v>
      </c>
      <c r="S136" s="72" t="str">
        <f aca="false">IF(J136&lt;=30,"Up to 30",IF(J136&lt;=60,"31–60",IF(J136&lt;=90,"61–90","Over 90")))</f>
        <v>Up to 30</v>
      </c>
      <c r="T136" s="71" t="n">
        <f aca="false">IF(J136&gt;'Scenario Lab'!$C$5,1,0)</f>
        <v>0</v>
      </c>
      <c r="U136" s="71" t="n">
        <f aca="false">IF(M136="Yes",1,0)</f>
        <v>0</v>
      </c>
      <c r="V136" s="71" t="n">
        <f aca="false">IF(AND(M136="Yes",N136="Yes"),1,0)</f>
        <v>0</v>
      </c>
      <c r="W136" s="72" t="str">
        <f aca="false">IF(AND(G136="Maternal Health",E136="Male",D136&gt;=15),"Review","OK")</f>
        <v>OK</v>
      </c>
    </row>
    <row r="137" customFormat="false" ht="15" hidden="false" customHeight="false" outlineLevel="0" collapsed="false">
      <c r="A137" s="67" t="s">
        <v>440</v>
      </c>
      <c r="B137" s="67" t="s">
        <v>441</v>
      </c>
      <c r="C137" s="68" t="n">
        <v>46112</v>
      </c>
      <c r="D137" s="67" t="n">
        <v>8</v>
      </c>
      <c r="E137" s="67" t="s">
        <v>164</v>
      </c>
      <c r="F137" s="67" t="s">
        <v>61</v>
      </c>
      <c r="G137" s="67" t="s">
        <v>66</v>
      </c>
      <c r="H137" s="67" t="s">
        <v>64</v>
      </c>
      <c r="I137" s="67" t="s">
        <v>104</v>
      </c>
      <c r="J137" s="67" t="n">
        <v>28</v>
      </c>
      <c r="K137" s="69" t="n">
        <v>3.9</v>
      </c>
      <c r="L137" s="70" t="n">
        <v>93165</v>
      </c>
      <c r="M137" s="67" t="s">
        <v>165</v>
      </c>
      <c r="N137" s="67" t="s">
        <v>169</v>
      </c>
      <c r="O137" s="67" t="n">
        <v>5</v>
      </c>
      <c r="P137" s="67" t="s">
        <v>180</v>
      </c>
      <c r="Q137" s="71" t="n">
        <f aca="false">MONTH(C137)</f>
        <v>3</v>
      </c>
      <c r="R137" s="72" t="str">
        <f aca="false">IF(D137&lt;=14,"1–14",IF(D137&lt;=24,"15–24",IF(D137&lt;=44,"25–44",IF(D137&lt;=64,"45–64","65+"))))</f>
        <v>1–14</v>
      </c>
      <c r="S137" s="72" t="str">
        <f aca="false">IF(J137&lt;=30,"Up to 30",IF(J137&lt;=60,"31–60",IF(J137&lt;=90,"61–90","Over 90")))</f>
        <v>Up to 30</v>
      </c>
      <c r="T137" s="71" t="n">
        <f aca="false">IF(J137&gt;'Scenario Lab'!$C$5,1,0)</f>
        <v>0</v>
      </c>
      <c r="U137" s="71" t="n">
        <f aca="false">IF(M137="Yes",1,0)</f>
        <v>1</v>
      </c>
      <c r="V137" s="71" t="n">
        <f aca="false">IF(AND(M137="Yes",N137="Yes"),1,0)</f>
        <v>0</v>
      </c>
      <c r="W137" s="72" t="str">
        <f aca="false">IF(AND(G137="Maternal Health",E137="Male",D137&gt;=15),"Review","OK")</f>
        <v>OK</v>
      </c>
    </row>
    <row r="138" customFormat="false" ht="15" hidden="false" customHeight="false" outlineLevel="0" collapsed="false">
      <c r="A138" s="67" t="s">
        <v>442</v>
      </c>
      <c r="B138" s="67" t="s">
        <v>443</v>
      </c>
      <c r="C138" s="68" t="n">
        <v>46194</v>
      </c>
      <c r="D138" s="67" t="n">
        <v>1</v>
      </c>
      <c r="E138" s="67" t="s">
        <v>173</v>
      </c>
      <c r="F138" s="67" t="s">
        <v>65</v>
      </c>
      <c r="G138" s="67" t="s">
        <v>66</v>
      </c>
      <c r="H138" s="67" t="s">
        <v>64</v>
      </c>
      <c r="I138" s="67" t="s">
        <v>104</v>
      </c>
      <c r="J138" s="67" t="n">
        <v>10</v>
      </c>
      <c r="K138" s="69" t="n">
        <v>3.3</v>
      </c>
      <c r="L138" s="70" t="n">
        <v>76023</v>
      </c>
      <c r="M138" s="67" t="s">
        <v>165</v>
      </c>
      <c r="N138" s="67" t="s">
        <v>165</v>
      </c>
      <c r="O138" s="67" t="n">
        <v>5</v>
      </c>
      <c r="P138" s="67" t="s">
        <v>180</v>
      </c>
      <c r="Q138" s="71" t="n">
        <f aca="false">MONTH(C138)</f>
        <v>6</v>
      </c>
      <c r="R138" s="72" t="str">
        <f aca="false">IF(D138&lt;=14,"1–14",IF(D138&lt;=24,"15–24",IF(D138&lt;=44,"25–44",IF(D138&lt;=64,"45–64","65+"))))</f>
        <v>1–14</v>
      </c>
      <c r="S138" s="72" t="str">
        <f aca="false">IF(J138&lt;=30,"Up to 30",IF(J138&lt;=60,"31–60",IF(J138&lt;=90,"61–90","Over 90")))</f>
        <v>Up to 30</v>
      </c>
      <c r="T138" s="71" t="n">
        <f aca="false">IF(J138&gt;'Scenario Lab'!$C$5,1,0)</f>
        <v>0</v>
      </c>
      <c r="U138" s="71" t="n">
        <f aca="false">IF(M138="Yes",1,0)</f>
        <v>1</v>
      </c>
      <c r="V138" s="71" t="n">
        <f aca="false">IF(AND(M138="Yes",N138="Yes"),1,0)</f>
        <v>1</v>
      </c>
      <c r="W138" s="72" t="str">
        <f aca="false">IF(AND(G138="Maternal Health",E138="Male",D138&gt;=15),"Review","OK")</f>
        <v>OK</v>
      </c>
    </row>
    <row r="139" customFormat="false" ht="15" hidden="false" customHeight="false" outlineLevel="0" collapsed="false">
      <c r="A139" s="67" t="s">
        <v>444</v>
      </c>
      <c r="B139" s="67" t="s">
        <v>445</v>
      </c>
      <c r="C139" s="68" t="n">
        <v>46174</v>
      </c>
      <c r="D139" s="67" t="n">
        <v>8</v>
      </c>
      <c r="E139" s="67" t="s">
        <v>164</v>
      </c>
      <c r="F139" s="67" t="s">
        <v>67</v>
      </c>
      <c r="G139" s="67" t="s">
        <v>66</v>
      </c>
      <c r="H139" s="67" t="s">
        <v>58</v>
      </c>
      <c r="I139" s="67" t="s">
        <v>107</v>
      </c>
      <c r="J139" s="67" t="n">
        <v>40</v>
      </c>
      <c r="K139" s="69" t="n">
        <v>0</v>
      </c>
      <c r="L139" s="70" t="n">
        <v>47351</v>
      </c>
      <c r="M139" s="67" t="s">
        <v>165</v>
      </c>
      <c r="N139" s="67" t="s">
        <v>165</v>
      </c>
      <c r="O139" s="67" t="n">
        <v>5</v>
      </c>
      <c r="P139" s="67" t="s">
        <v>112</v>
      </c>
      <c r="Q139" s="71" t="n">
        <f aca="false">MONTH(C139)</f>
        <v>6</v>
      </c>
      <c r="R139" s="72" t="str">
        <f aca="false">IF(D139&lt;=14,"1–14",IF(D139&lt;=24,"15–24",IF(D139&lt;=44,"25–44",IF(D139&lt;=64,"45–64","65+"))))</f>
        <v>1–14</v>
      </c>
      <c r="S139" s="72" t="str">
        <f aca="false">IF(J139&lt;=30,"Up to 30",IF(J139&lt;=60,"31–60",IF(J139&lt;=90,"61–90","Over 90")))</f>
        <v>31–60</v>
      </c>
      <c r="T139" s="71" t="n">
        <f aca="false">IF(J139&gt;'Scenario Lab'!$C$5,1,0)</f>
        <v>0</v>
      </c>
      <c r="U139" s="71" t="n">
        <f aca="false">IF(M139="Yes",1,0)</f>
        <v>1</v>
      </c>
      <c r="V139" s="71" t="n">
        <f aca="false">IF(AND(M139="Yes",N139="Yes"),1,0)</f>
        <v>1</v>
      </c>
      <c r="W139" s="72" t="str">
        <f aca="false">IF(AND(G139="Maternal Health",E139="Male",D139&gt;=15),"Review","OK")</f>
        <v>OK</v>
      </c>
    </row>
    <row r="140" customFormat="false" ht="15" hidden="false" customHeight="false" outlineLevel="0" collapsed="false">
      <c r="A140" s="67" t="s">
        <v>446</v>
      </c>
      <c r="B140" s="67" t="s">
        <v>447</v>
      </c>
      <c r="C140" s="68" t="n">
        <v>46156</v>
      </c>
      <c r="D140" s="67" t="n">
        <v>45</v>
      </c>
      <c r="E140" s="67" t="s">
        <v>173</v>
      </c>
      <c r="F140" s="67" t="s">
        <v>65</v>
      </c>
      <c r="G140" s="67" t="s">
        <v>62</v>
      </c>
      <c r="H140" s="67" t="s">
        <v>58</v>
      </c>
      <c r="I140" s="67" t="s">
        <v>108</v>
      </c>
      <c r="J140" s="67" t="n">
        <v>45</v>
      </c>
      <c r="K140" s="69" t="n">
        <v>0</v>
      </c>
      <c r="L140" s="70" t="n">
        <v>65217</v>
      </c>
      <c r="M140" s="67" t="s">
        <v>165</v>
      </c>
      <c r="N140" s="67" t="s">
        <v>165</v>
      </c>
      <c r="O140" s="67" t="n">
        <v>4</v>
      </c>
      <c r="P140" s="67" t="s">
        <v>166</v>
      </c>
      <c r="Q140" s="71" t="n">
        <f aca="false">MONTH(C140)</f>
        <v>5</v>
      </c>
      <c r="R140" s="72" t="str">
        <f aca="false">IF(D140&lt;=14,"1–14",IF(D140&lt;=24,"15–24",IF(D140&lt;=44,"25–44",IF(D140&lt;=64,"45–64","65+"))))</f>
        <v>45–64</v>
      </c>
      <c r="S140" s="72" t="str">
        <f aca="false">IF(J140&lt;=30,"Up to 30",IF(J140&lt;=60,"31–60",IF(J140&lt;=90,"61–90","Over 90")))</f>
        <v>31–60</v>
      </c>
      <c r="T140" s="71" t="n">
        <f aca="false">IF(J140&gt;'Scenario Lab'!$C$5,1,0)</f>
        <v>0</v>
      </c>
      <c r="U140" s="71" t="n">
        <f aca="false">IF(M140="Yes",1,0)</f>
        <v>1</v>
      </c>
      <c r="V140" s="71" t="n">
        <f aca="false">IF(AND(M140="Yes",N140="Yes"),1,0)</f>
        <v>1</v>
      </c>
      <c r="W140" s="72" t="str">
        <f aca="false">IF(AND(G140="Maternal Health",E140="Male",D140&gt;=15),"Review","OK")</f>
        <v>Review</v>
      </c>
    </row>
    <row r="141" customFormat="false" ht="15" hidden="false" customHeight="false" outlineLevel="0" collapsed="false">
      <c r="A141" s="67" t="s">
        <v>448</v>
      </c>
      <c r="B141" s="67" t="s">
        <v>449</v>
      </c>
      <c r="C141" s="68" t="n">
        <v>46280</v>
      </c>
      <c r="D141" s="67" t="n">
        <v>6</v>
      </c>
      <c r="E141" s="67" t="s">
        <v>173</v>
      </c>
      <c r="F141" s="67" t="s">
        <v>67</v>
      </c>
      <c r="G141" s="67" t="s">
        <v>66</v>
      </c>
      <c r="H141" s="67" t="s">
        <v>112</v>
      </c>
      <c r="I141" s="67" t="s">
        <v>107</v>
      </c>
      <c r="J141" s="67" t="n">
        <v>46</v>
      </c>
      <c r="K141" s="69" t="n">
        <v>1.5</v>
      </c>
      <c r="L141" s="70" t="n">
        <v>56585</v>
      </c>
      <c r="M141" s="67" t="s">
        <v>165</v>
      </c>
      <c r="N141" s="67" t="s">
        <v>165</v>
      </c>
      <c r="O141" s="67" t="n">
        <v>4</v>
      </c>
      <c r="P141" s="67" t="s">
        <v>166</v>
      </c>
      <c r="Q141" s="71" t="n">
        <f aca="false">MONTH(C141)</f>
        <v>9</v>
      </c>
      <c r="R141" s="72" t="str">
        <f aca="false">IF(D141&lt;=14,"1–14",IF(D141&lt;=24,"15–24",IF(D141&lt;=44,"25–44",IF(D141&lt;=64,"45–64","65+"))))</f>
        <v>1–14</v>
      </c>
      <c r="S141" s="72" t="str">
        <f aca="false">IF(J141&lt;=30,"Up to 30",IF(J141&lt;=60,"31–60",IF(J141&lt;=90,"61–90","Over 90")))</f>
        <v>31–60</v>
      </c>
      <c r="T141" s="71" t="n">
        <f aca="false">IF(J141&gt;'Scenario Lab'!$C$5,1,0)</f>
        <v>0</v>
      </c>
      <c r="U141" s="71" t="n">
        <f aca="false">IF(M141="Yes",1,0)</f>
        <v>1</v>
      </c>
      <c r="V141" s="71" t="n">
        <f aca="false">IF(AND(M141="Yes",N141="Yes"),1,0)</f>
        <v>1</v>
      </c>
      <c r="W141" s="72" t="str">
        <f aca="false">IF(AND(G141="Maternal Health",E141="Male",D141&gt;=15),"Review","OK")</f>
        <v>OK</v>
      </c>
    </row>
    <row r="142" customFormat="false" ht="15" hidden="false" customHeight="false" outlineLevel="0" collapsed="false">
      <c r="A142" s="67" t="s">
        <v>450</v>
      </c>
      <c r="B142" s="67" t="s">
        <v>451</v>
      </c>
      <c r="C142" s="68" t="n">
        <v>46264</v>
      </c>
      <c r="D142" s="67" t="n">
        <v>60</v>
      </c>
      <c r="E142" s="67" t="s">
        <v>164</v>
      </c>
      <c r="F142" s="67" t="s">
        <v>61</v>
      </c>
      <c r="G142" s="67" t="s">
        <v>64</v>
      </c>
      <c r="H142" s="67" t="s">
        <v>64</v>
      </c>
      <c r="I142" s="67" t="s">
        <v>107</v>
      </c>
      <c r="J142" s="67" t="n">
        <v>17</v>
      </c>
      <c r="K142" s="69" t="n">
        <v>5.3</v>
      </c>
      <c r="L142" s="70" t="n">
        <v>72971</v>
      </c>
      <c r="M142" s="67" t="s">
        <v>169</v>
      </c>
      <c r="N142" s="67" t="s">
        <v>170</v>
      </c>
      <c r="O142" s="67" t="n">
        <v>5</v>
      </c>
      <c r="P142" s="67" t="s">
        <v>166</v>
      </c>
      <c r="Q142" s="71" t="n">
        <f aca="false">MONTH(C142)</f>
        <v>8</v>
      </c>
      <c r="R142" s="72" t="str">
        <f aca="false">IF(D142&lt;=14,"1–14",IF(D142&lt;=24,"15–24",IF(D142&lt;=44,"25–44",IF(D142&lt;=64,"45–64","65+"))))</f>
        <v>45–64</v>
      </c>
      <c r="S142" s="72" t="str">
        <f aca="false">IF(J142&lt;=30,"Up to 30",IF(J142&lt;=60,"31–60",IF(J142&lt;=90,"61–90","Over 90")))</f>
        <v>Up to 30</v>
      </c>
      <c r="T142" s="71" t="n">
        <f aca="false">IF(J142&gt;'Scenario Lab'!$C$5,1,0)</f>
        <v>0</v>
      </c>
      <c r="U142" s="71" t="n">
        <f aca="false">IF(M142="Yes",1,0)</f>
        <v>0</v>
      </c>
      <c r="V142" s="71" t="n">
        <f aca="false">IF(AND(M142="Yes",N142="Yes"),1,0)</f>
        <v>0</v>
      </c>
      <c r="W142" s="72" t="str">
        <f aca="false">IF(AND(G142="Maternal Health",E142="Male",D142&gt;=15),"Review","OK")</f>
        <v>OK</v>
      </c>
    </row>
    <row r="143" customFormat="false" ht="15" hidden="false" customHeight="false" outlineLevel="0" collapsed="false">
      <c r="A143" s="67" t="s">
        <v>452</v>
      </c>
      <c r="B143" s="67" t="s">
        <v>453</v>
      </c>
      <c r="C143" s="68" t="n">
        <v>46281</v>
      </c>
      <c r="D143" s="67" t="n">
        <v>66</v>
      </c>
      <c r="E143" s="67" t="s">
        <v>164</v>
      </c>
      <c r="F143" s="67" t="s">
        <v>67</v>
      </c>
      <c r="G143" s="67" t="s">
        <v>68</v>
      </c>
      <c r="H143" s="67" t="s">
        <v>113</v>
      </c>
      <c r="I143" s="67" t="s">
        <v>107</v>
      </c>
      <c r="J143" s="67" t="n">
        <v>36</v>
      </c>
      <c r="K143" s="69" t="n">
        <v>0.7</v>
      </c>
      <c r="L143" s="70" t="n">
        <v>206925</v>
      </c>
      <c r="M143" s="67" t="s">
        <v>165</v>
      </c>
      <c r="N143" s="67" t="s">
        <v>165</v>
      </c>
      <c r="O143" s="67" t="n">
        <v>4</v>
      </c>
      <c r="P143" s="67" t="s">
        <v>166</v>
      </c>
      <c r="Q143" s="71" t="n">
        <f aca="false">MONTH(C143)</f>
        <v>9</v>
      </c>
      <c r="R143" s="72" t="str">
        <f aca="false">IF(D143&lt;=14,"1–14",IF(D143&lt;=24,"15–24",IF(D143&lt;=44,"25–44",IF(D143&lt;=64,"45–64","65+"))))</f>
        <v>65+</v>
      </c>
      <c r="S143" s="72" t="str">
        <f aca="false">IF(J143&lt;=30,"Up to 30",IF(J143&lt;=60,"31–60",IF(J143&lt;=90,"61–90","Over 90")))</f>
        <v>31–60</v>
      </c>
      <c r="T143" s="71" t="n">
        <f aca="false">IF(J143&gt;'Scenario Lab'!$C$5,1,0)</f>
        <v>0</v>
      </c>
      <c r="U143" s="71" t="n">
        <f aca="false">IF(M143="Yes",1,0)</f>
        <v>1</v>
      </c>
      <c r="V143" s="71" t="n">
        <f aca="false">IF(AND(M143="Yes",N143="Yes"),1,0)</f>
        <v>1</v>
      </c>
      <c r="W143" s="72" t="str">
        <f aca="false">IF(AND(G143="Maternal Health",E143="Male",D143&gt;=15),"Review","OK")</f>
        <v>OK</v>
      </c>
    </row>
    <row r="144" customFormat="false" ht="15" hidden="false" customHeight="false" outlineLevel="0" collapsed="false">
      <c r="A144" s="67" t="s">
        <v>454</v>
      </c>
      <c r="B144" s="67" t="s">
        <v>455</v>
      </c>
      <c r="C144" s="68" t="n">
        <v>46052</v>
      </c>
      <c r="D144" s="67" t="n">
        <v>24</v>
      </c>
      <c r="E144" s="67" t="s">
        <v>173</v>
      </c>
      <c r="F144" s="67" t="s">
        <v>59</v>
      </c>
      <c r="G144" s="67" t="s">
        <v>60</v>
      </c>
      <c r="H144" s="67" t="s">
        <v>112</v>
      </c>
      <c r="I144" s="67" t="s">
        <v>104</v>
      </c>
      <c r="J144" s="67" t="n">
        <v>45</v>
      </c>
      <c r="K144" s="69" t="n">
        <v>0.8</v>
      </c>
      <c r="L144" s="70" t="n">
        <v>76576</v>
      </c>
      <c r="M144" s="67" t="s">
        <v>165</v>
      </c>
      <c r="N144" s="67" t="s">
        <v>165</v>
      </c>
      <c r="O144" s="67" t="n">
        <v>4</v>
      </c>
      <c r="P144" s="67" t="s">
        <v>166</v>
      </c>
      <c r="Q144" s="71" t="n">
        <f aca="false">MONTH(C144)</f>
        <v>1</v>
      </c>
      <c r="R144" s="72" t="str">
        <f aca="false">IF(D144&lt;=14,"1–14",IF(D144&lt;=24,"15–24",IF(D144&lt;=44,"25–44",IF(D144&lt;=64,"45–64","65+"))))</f>
        <v>15–24</v>
      </c>
      <c r="S144" s="72" t="str">
        <f aca="false">IF(J144&lt;=30,"Up to 30",IF(J144&lt;=60,"31–60",IF(J144&lt;=90,"61–90","Over 90")))</f>
        <v>31–60</v>
      </c>
      <c r="T144" s="71" t="n">
        <f aca="false">IF(J144&gt;'Scenario Lab'!$C$5,1,0)</f>
        <v>0</v>
      </c>
      <c r="U144" s="71" t="n">
        <f aca="false">IF(M144="Yes",1,0)</f>
        <v>1</v>
      </c>
      <c r="V144" s="71" t="n">
        <f aca="false">IF(AND(M144="Yes",N144="Yes"),1,0)</f>
        <v>1</v>
      </c>
      <c r="W144" s="72" t="str">
        <f aca="false">IF(AND(G144="Maternal Health",E144="Male",D144&gt;=15),"Review","OK")</f>
        <v>OK</v>
      </c>
    </row>
    <row r="145" customFormat="false" ht="15" hidden="false" customHeight="false" outlineLevel="0" collapsed="false">
      <c r="A145" s="67" t="s">
        <v>456</v>
      </c>
      <c r="B145" s="67" t="s">
        <v>457</v>
      </c>
      <c r="C145" s="68" t="n">
        <v>46058</v>
      </c>
      <c r="D145" s="67" t="n">
        <v>4</v>
      </c>
      <c r="E145" s="67" t="s">
        <v>173</v>
      </c>
      <c r="F145" s="67" t="s">
        <v>61</v>
      </c>
      <c r="G145" s="67" t="s">
        <v>58</v>
      </c>
      <c r="H145" s="67" t="s">
        <v>58</v>
      </c>
      <c r="I145" s="67" t="s">
        <v>104</v>
      </c>
      <c r="J145" s="67" t="n">
        <v>59</v>
      </c>
      <c r="K145" s="69" t="n">
        <v>1.2</v>
      </c>
      <c r="L145" s="70" t="n">
        <v>134466</v>
      </c>
      <c r="M145" s="67" t="s">
        <v>165</v>
      </c>
      <c r="N145" s="67" t="s">
        <v>169</v>
      </c>
      <c r="O145" s="67" t="n">
        <v>4</v>
      </c>
      <c r="P145" s="67" t="s">
        <v>180</v>
      </c>
      <c r="Q145" s="71" t="n">
        <f aca="false">MONTH(C145)</f>
        <v>2</v>
      </c>
      <c r="R145" s="72" t="str">
        <f aca="false">IF(D145&lt;=14,"1–14",IF(D145&lt;=24,"15–24",IF(D145&lt;=44,"25–44",IF(D145&lt;=64,"45–64","65+"))))</f>
        <v>1–14</v>
      </c>
      <c r="S145" s="72" t="str">
        <f aca="false">IF(J145&lt;=30,"Up to 30",IF(J145&lt;=60,"31–60",IF(J145&lt;=90,"61–90","Over 90")))</f>
        <v>31–60</v>
      </c>
      <c r="T145" s="71" t="n">
        <f aca="false">IF(J145&gt;'Scenario Lab'!$C$5,1,0)</f>
        <v>0</v>
      </c>
      <c r="U145" s="71" t="n">
        <f aca="false">IF(M145="Yes",1,0)</f>
        <v>1</v>
      </c>
      <c r="V145" s="71" t="n">
        <f aca="false">IF(AND(M145="Yes",N145="Yes"),1,0)</f>
        <v>0</v>
      </c>
      <c r="W145" s="72" t="str">
        <f aca="false">IF(AND(G145="Maternal Health",E145="Male",D145&gt;=15),"Review","OK")</f>
        <v>OK</v>
      </c>
    </row>
    <row r="146" customFormat="false" ht="15" hidden="false" customHeight="false" outlineLevel="0" collapsed="false">
      <c r="A146" s="67" t="s">
        <v>458</v>
      </c>
      <c r="B146" s="67" t="s">
        <v>459</v>
      </c>
      <c r="C146" s="68" t="n">
        <v>46215</v>
      </c>
      <c r="D146" s="67" t="n">
        <v>20</v>
      </c>
      <c r="E146" s="67" t="s">
        <v>164</v>
      </c>
      <c r="F146" s="67" t="s">
        <v>63</v>
      </c>
      <c r="G146" s="67" t="s">
        <v>64</v>
      </c>
      <c r="H146" s="67" t="s">
        <v>112</v>
      </c>
      <c r="I146" s="67" t="s">
        <v>108</v>
      </c>
      <c r="J146" s="67" t="n">
        <v>37</v>
      </c>
      <c r="K146" s="69" t="n">
        <v>1.5</v>
      </c>
      <c r="L146" s="70" t="n">
        <v>26885</v>
      </c>
      <c r="M146" s="67" t="s">
        <v>165</v>
      </c>
      <c r="N146" s="67" t="s">
        <v>169</v>
      </c>
      <c r="O146" s="67" t="n">
        <v>5</v>
      </c>
      <c r="P146" s="67" t="s">
        <v>180</v>
      </c>
      <c r="Q146" s="71" t="n">
        <f aca="false">MONTH(C146)</f>
        <v>7</v>
      </c>
      <c r="R146" s="72" t="str">
        <f aca="false">IF(D146&lt;=14,"1–14",IF(D146&lt;=24,"15–24",IF(D146&lt;=44,"25–44",IF(D146&lt;=64,"45–64","65+"))))</f>
        <v>15–24</v>
      </c>
      <c r="S146" s="72" t="str">
        <f aca="false">IF(J146&lt;=30,"Up to 30",IF(J146&lt;=60,"31–60",IF(J146&lt;=90,"61–90","Over 90")))</f>
        <v>31–60</v>
      </c>
      <c r="T146" s="71" t="n">
        <f aca="false">IF(J146&gt;'Scenario Lab'!$C$5,1,0)</f>
        <v>0</v>
      </c>
      <c r="U146" s="71" t="n">
        <f aca="false">IF(M146="Yes",1,0)</f>
        <v>1</v>
      </c>
      <c r="V146" s="71" t="n">
        <f aca="false">IF(AND(M146="Yes",N146="Yes"),1,0)</f>
        <v>0</v>
      </c>
      <c r="W146" s="72" t="str">
        <f aca="false">IF(AND(G146="Maternal Health",E146="Male",D146&gt;=15),"Review","OK")</f>
        <v>OK</v>
      </c>
    </row>
    <row r="147" customFormat="false" ht="15" hidden="false" customHeight="false" outlineLevel="0" collapsed="false">
      <c r="A147" s="67" t="s">
        <v>460</v>
      </c>
      <c r="B147" s="67" t="s">
        <v>461</v>
      </c>
      <c r="C147" s="68" t="n">
        <v>46175</v>
      </c>
      <c r="D147" s="67" t="n">
        <v>73</v>
      </c>
      <c r="E147" s="67" t="s">
        <v>164</v>
      </c>
      <c r="F147" s="67" t="s">
        <v>61</v>
      </c>
      <c r="G147" s="67" t="s">
        <v>60</v>
      </c>
      <c r="H147" s="67" t="s">
        <v>64</v>
      </c>
      <c r="I147" s="67" t="s">
        <v>108</v>
      </c>
      <c r="J147" s="67" t="n">
        <v>40</v>
      </c>
      <c r="K147" s="69" t="n">
        <v>0.5</v>
      </c>
      <c r="L147" s="70" t="n">
        <v>85264</v>
      </c>
      <c r="M147" s="67" t="s">
        <v>169</v>
      </c>
      <c r="N147" s="67" t="s">
        <v>170</v>
      </c>
      <c r="O147" s="67" t="n">
        <v>5</v>
      </c>
      <c r="P147" s="67" t="s">
        <v>112</v>
      </c>
      <c r="Q147" s="71" t="n">
        <f aca="false">MONTH(C147)</f>
        <v>6</v>
      </c>
      <c r="R147" s="72" t="str">
        <f aca="false">IF(D147&lt;=14,"1–14",IF(D147&lt;=24,"15–24",IF(D147&lt;=44,"25–44",IF(D147&lt;=64,"45–64","65+"))))</f>
        <v>65+</v>
      </c>
      <c r="S147" s="72" t="str">
        <f aca="false">IF(J147&lt;=30,"Up to 30",IF(J147&lt;=60,"31–60",IF(J147&lt;=90,"61–90","Over 90")))</f>
        <v>31–60</v>
      </c>
      <c r="T147" s="71" t="n">
        <f aca="false">IF(J147&gt;'Scenario Lab'!$C$5,1,0)</f>
        <v>0</v>
      </c>
      <c r="U147" s="71" t="n">
        <f aca="false">IF(M147="Yes",1,0)</f>
        <v>0</v>
      </c>
      <c r="V147" s="71" t="n">
        <f aca="false">IF(AND(M147="Yes",N147="Yes"),1,0)</f>
        <v>0</v>
      </c>
      <c r="W147" s="72" t="str">
        <f aca="false">IF(AND(G147="Maternal Health",E147="Male",D147&gt;=15),"Review","OK")</f>
        <v>OK</v>
      </c>
    </row>
    <row r="148" customFormat="false" ht="15" hidden="false" customHeight="false" outlineLevel="0" collapsed="false">
      <c r="A148" s="67" t="s">
        <v>462</v>
      </c>
      <c r="B148" s="67" t="s">
        <v>463</v>
      </c>
      <c r="C148" s="68" t="n">
        <v>46031</v>
      </c>
      <c r="D148" s="67" t="n">
        <v>50</v>
      </c>
      <c r="E148" s="67" t="s">
        <v>164</v>
      </c>
      <c r="F148" s="67" t="s">
        <v>63</v>
      </c>
      <c r="G148" s="67" t="s">
        <v>58</v>
      </c>
      <c r="H148" s="67" t="s">
        <v>58</v>
      </c>
      <c r="I148" s="67" t="s">
        <v>107</v>
      </c>
      <c r="J148" s="67" t="n">
        <v>55</v>
      </c>
      <c r="K148" s="69" t="n">
        <v>0</v>
      </c>
      <c r="L148" s="70" t="n">
        <v>113875</v>
      </c>
      <c r="M148" s="67" t="s">
        <v>165</v>
      </c>
      <c r="N148" s="67" t="s">
        <v>165</v>
      </c>
      <c r="O148" s="67" t="n">
        <v>4</v>
      </c>
      <c r="P148" s="67" t="s">
        <v>112</v>
      </c>
      <c r="Q148" s="71" t="n">
        <f aca="false">MONTH(C148)</f>
        <v>1</v>
      </c>
      <c r="R148" s="72" t="str">
        <f aca="false">IF(D148&lt;=14,"1–14",IF(D148&lt;=24,"15–24",IF(D148&lt;=44,"25–44",IF(D148&lt;=64,"45–64","65+"))))</f>
        <v>45–64</v>
      </c>
      <c r="S148" s="72" t="str">
        <f aca="false">IF(J148&lt;=30,"Up to 30",IF(J148&lt;=60,"31–60",IF(J148&lt;=90,"61–90","Over 90")))</f>
        <v>31–60</v>
      </c>
      <c r="T148" s="71" t="n">
        <f aca="false">IF(J148&gt;'Scenario Lab'!$C$5,1,0)</f>
        <v>0</v>
      </c>
      <c r="U148" s="71" t="n">
        <f aca="false">IF(M148="Yes",1,0)</f>
        <v>1</v>
      </c>
      <c r="V148" s="71" t="n">
        <f aca="false">IF(AND(M148="Yes",N148="Yes"),1,0)</f>
        <v>1</v>
      </c>
      <c r="W148" s="72" t="str">
        <f aca="false">IF(AND(G148="Maternal Health",E148="Male",D148&gt;=15),"Review","OK")</f>
        <v>OK</v>
      </c>
    </row>
    <row r="149" customFormat="false" ht="15" hidden="false" customHeight="false" outlineLevel="0" collapsed="false">
      <c r="A149" s="67" t="s">
        <v>464</v>
      </c>
      <c r="B149" s="67" t="s">
        <v>465</v>
      </c>
      <c r="C149" s="68" t="n">
        <v>46094</v>
      </c>
      <c r="D149" s="67" t="n">
        <v>59</v>
      </c>
      <c r="E149" s="67" t="s">
        <v>173</v>
      </c>
      <c r="F149" s="67" t="s">
        <v>67</v>
      </c>
      <c r="G149" s="67" t="s">
        <v>60</v>
      </c>
      <c r="H149" s="67" t="s">
        <v>112</v>
      </c>
      <c r="I149" s="67" t="s">
        <v>108</v>
      </c>
      <c r="J149" s="67" t="n">
        <v>56</v>
      </c>
      <c r="K149" s="69" t="n">
        <v>0.1</v>
      </c>
      <c r="L149" s="70" t="n">
        <v>68884</v>
      </c>
      <c r="M149" s="67" t="s">
        <v>165</v>
      </c>
      <c r="N149" s="67" t="s">
        <v>169</v>
      </c>
      <c r="O149" s="67" t="n">
        <v>4</v>
      </c>
      <c r="P149" s="67" t="s">
        <v>112</v>
      </c>
      <c r="Q149" s="71" t="n">
        <f aca="false">MONTH(C149)</f>
        <v>3</v>
      </c>
      <c r="R149" s="72" t="str">
        <f aca="false">IF(D149&lt;=14,"1–14",IF(D149&lt;=24,"15–24",IF(D149&lt;=44,"25–44",IF(D149&lt;=64,"45–64","65+"))))</f>
        <v>45–64</v>
      </c>
      <c r="S149" s="72" t="str">
        <f aca="false">IF(J149&lt;=30,"Up to 30",IF(J149&lt;=60,"31–60",IF(J149&lt;=90,"61–90","Over 90")))</f>
        <v>31–60</v>
      </c>
      <c r="T149" s="71" t="n">
        <f aca="false">IF(J149&gt;'Scenario Lab'!$C$5,1,0)</f>
        <v>0</v>
      </c>
      <c r="U149" s="71" t="n">
        <f aca="false">IF(M149="Yes",1,0)</f>
        <v>1</v>
      </c>
      <c r="V149" s="71" t="n">
        <f aca="false">IF(AND(M149="Yes",N149="Yes"),1,0)</f>
        <v>0</v>
      </c>
      <c r="W149" s="72" t="str">
        <f aca="false">IF(AND(G149="Maternal Health",E149="Male",D149&gt;=15),"Review","OK")</f>
        <v>OK</v>
      </c>
    </row>
    <row r="150" customFormat="false" ht="15" hidden="false" customHeight="false" outlineLevel="0" collapsed="false">
      <c r="A150" s="67" t="s">
        <v>466</v>
      </c>
      <c r="B150" s="67" t="s">
        <v>467</v>
      </c>
      <c r="C150" s="68" t="n">
        <v>46176</v>
      </c>
      <c r="D150" s="67" t="n">
        <v>75</v>
      </c>
      <c r="E150" s="67" t="s">
        <v>173</v>
      </c>
      <c r="F150" s="67" t="s">
        <v>67</v>
      </c>
      <c r="G150" s="67" t="s">
        <v>58</v>
      </c>
      <c r="H150" s="67" t="s">
        <v>58</v>
      </c>
      <c r="I150" s="67" t="s">
        <v>104</v>
      </c>
      <c r="J150" s="67" t="n">
        <v>100</v>
      </c>
      <c r="K150" s="69" t="n">
        <v>0.3</v>
      </c>
      <c r="L150" s="70" t="n">
        <v>93231</v>
      </c>
      <c r="M150" s="67" t="s">
        <v>169</v>
      </c>
      <c r="N150" s="67" t="s">
        <v>170</v>
      </c>
      <c r="O150" s="67" t="n">
        <v>4</v>
      </c>
      <c r="P150" s="67" t="s">
        <v>166</v>
      </c>
      <c r="Q150" s="71" t="n">
        <f aca="false">MONTH(C150)</f>
        <v>6</v>
      </c>
      <c r="R150" s="72" t="str">
        <f aca="false">IF(D150&lt;=14,"1–14",IF(D150&lt;=24,"15–24",IF(D150&lt;=44,"25–44",IF(D150&lt;=64,"45–64","65+"))))</f>
        <v>65+</v>
      </c>
      <c r="S150" s="72" t="str">
        <f aca="false">IF(J150&lt;=30,"Up to 30",IF(J150&lt;=60,"31–60",IF(J150&lt;=90,"61–90","Over 90")))</f>
        <v>Over 90</v>
      </c>
      <c r="T150" s="71" t="n">
        <f aca="false">IF(J150&gt;'Scenario Lab'!$C$5,1,0)</f>
        <v>1</v>
      </c>
      <c r="U150" s="71" t="n">
        <f aca="false">IF(M150="Yes",1,0)</f>
        <v>0</v>
      </c>
      <c r="V150" s="71" t="n">
        <f aca="false">IF(AND(M150="Yes",N150="Yes"),1,0)</f>
        <v>0</v>
      </c>
      <c r="W150" s="72" t="str">
        <f aca="false">IF(AND(G150="Maternal Health",E150="Male",D150&gt;=15),"Review","OK")</f>
        <v>OK</v>
      </c>
    </row>
    <row r="151" customFormat="false" ht="15" hidden="false" customHeight="false" outlineLevel="0" collapsed="false">
      <c r="A151" s="67" t="s">
        <v>468</v>
      </c>
      <c r="B151" s="67" t="s">
        <v>469</v>
      </c>
      <c r="C151" s="68" t="n">
        <v>46176</v>
      </c>
      <c r="D151" s="67" t="n">
        <v>12</v>
      </c>
      <c r="E151" s="67" t="s">
        <v>164</v>
      </c>
      <c r="F151" s="67" t="s">
        <v>65</v>
      </c>
      <c r="G151" s="67" t="s">
        <v>66</v>
      </c>
      <c r="H151" s="67" t="s">
        <v>58</v>
      </c>
      <c r="I151" s="67" t="s">
        <v>107</v>
      </c>
      <c r="J151" s="67" t="n">
        <v>34</v>
      </c>
      <c r="K151" s="69" t="n">
        <v>0.4</v>
      </c>
      <c r="L151" s="70" t="n">
        <v>40576</v>
      </c>
      <c r="M151" s="67" t="s">
        <v>165</v>
      </c>
      <c r="N151" s="67" t="s">
        <v>165</v>
      </c>
      <c r="O151" s="67" t="n">
        <v>4</v>
      </c>
      <c r="P151" s="67" t="s">
        <v>166</v>
      </c>
      <c r="Q151" s="71" t="n">
        <f aca="false">MONTH(C151)</f>
        <v>6</v>
      </c>
      <c r="R151" s="72" t="str">
        <f aca="false">IF(D151&lt;=14,"1–14",IF(D151&lt;=24,"15–24",IF(D151&lt;=44,"25–44",IF(D151&lt;=64,"45–64","65+"))))</f>
        <v>1–14</v>
      </c>
      <c r="S151" s="72" t="str">
        <f aca="false">IF(J151&lt;=30,"Up to 30",IF(J151&lt;=60,"31–60",IF(J151&lt;=90,"61–90","Over 90")))</f>
        <v>31–60</v>
      </c>
      <c r="T151" s="71" t="n">
        <f aca="false">IF(J151&gt;'Scenario Lab'!$C$5,1,0)</f>
        <v>0</v>
      </c>
      <c r="U151" s="71" t="n">
        <f aca="false">IF(M151="Yes",1,0)</f>
        <v>1</v>
      </c>
      <c r="V151" s="71" t="n">
        <f aca="false">IF(AND(M151="Yes",N151="Yes"),1,0)</f>
        <v>1</v>
      </c>
      <c r="W151" s="72" t="str">
        <f aca="false">IF(AND(G151="Maternal Health",E151="Male",D151&gt;=15),"Review","OK")</f>
        <v>OK</v>
      </c>
    </row>
    <row r="152" customFormat="false" ht="15" hidden="false" customHeight="false" outlineLevel="0" collapsed="false">
      <c r="A152" s="67" t="s">
        <v>470</v>
      </c>
      <c r="B152" s="67" t="s">
        <v>471</v>
      </c>
      <c r="C152" s="68" t="n">
        <v>46153</v>
      </c>
      <c r="D152" s="67" t="n">
        <v>14</v>
      </c>
      <c r="E152" s="67" t="s">
        <v>164</v>
      </c>
      <c r="F152" s="67" t="s">
        <v>61</v>
      </c>
      <c r="G152" s="67" t="s">
        <v>66</v>
      </c>
      <c r="H152" s="67" t="s">
        <v>113</v>
      </c>
      <c r="I152" s="67" t="s">
        <v>107</v>
      </c>
      <c r="J152" s="67" t="n">
        <v>23</v>
      </c>
      <c r="K152" s="69" t="n">
        <v>0.7</v>
      </c>
      <c r="L152" s="70" t="n">
        <v>58264</v>
      </c>
      <c r="M152" s="67" t="s">
        <v>165</v>
      </c>
      <c r="N152" s="67" t="s">
        <v>165</v>
      </c>
      <c r="O152" s="67" t="n">
        <v>5</v>
      </c>
      <c r="P152" s="67" t="s">
        <v>166</v>
      </c>
      <c r="Q152" s="71" t="n">
        <f aca="false">MONTH(C152)</f>
        <v>5</v>
      </c>
      <c r="R152" s="72" t="str">
        <f aca="false">IF(D152&lt;=14,"1–14",IF(D152&lt;=24,"15–24",IF(D152&lt;=44,"25–44",IF(D152&lt;=64,"45–64","65+"))))</f>
        <v>1–14</v>
      </c>
      <c r="S152" s="72" t="str">
        <f aca="false">IF(J152&lt;=30,"Up to 30",IF(J152&lt;=60,"31–60",IF(J152&lt;=90,"61–90","Over 90")))</f>
        <v>Up to 30</v>
      </c>
      <c r="T152" s="71" t="n">
        <f aca="false">IF(J152&gt;'Scenario Lab'!$C$5,1,0)</f>
        <v>0</v>
      </c>
      <c r="U152" s="71" t="n">
        <f aca="false">IF(M152="Yes",1,0)</f>
        <v>1</v>
      </c>
      <c r="V152" s="71" t="n">
        <f aca="false">IF(AND(M152="Yes",N152="Yes"),1,0)</f>
        <v>1</v>
      </c>
      <c r="W152" s="72" t="str">
        <f aca="false">IF(AND(G152="Maternal Health",E152="Male",D152&gt;=15),"Review","OK")</f>
        <v>OK</v>
      </c>
    </row>
    <row r="153" customFormat="false" ht="15" hidden="false" customHeight="false" outlineLevel="0" collapsed="false">
      <c r="A153" s="67" t="s">
        <v>472</v>
      </c>
      <c r="B153" s="67" t="s">
        <v>473</v>
      </c>
      <c r="C153" s="68" t="n">
        <v>46134</v>
      </c>
      <c r="D153" s="67" t="n">
        <v>10</v>
      </c>
      <c r="E153" s="67" t="s">
        <v>173</v>
      </c>
      <c r="F153" s="67" t="s">
        <v>59</v>
      </c>
      <c r="G153" s="67" t="s">
        <v>60</v>
      </c>
      <c r="H153" s="67" t="s">
        <v>58</v>
      </c>
      <c r="I153" s="67" t="s">
        <v>106</v>
      </c>
      <c r="J153" s="67" t="n">
        <v>19</v>
      </c>
      <c r="K153" s="69" t="n">
        <v>0</v>
      </c>
      <c r="L153" s="70" t="n">
        <v>43181</v>
      </c>
      <c r="M153" s="67" t="s">
        <v>165</v>
      </c>
      <c r="N153" s="67" t="s">
        <v>165</v>
      </c>
      <c r="O153" s="67" t="n">
        <v>5</v>
      </c>
      <c r="P153" s="67" t="s">
        <v>180</v>
      </c>
      <c r="Q153" s="71" t="n">
        <f aca="false">MONTH(C153)</f>
        <v>4</v>
      </c>
      <c r="R153" s="72" t="str">
        <f aca="false">IF(D153&lt;=14,"1–14",IF(D153&lt;=24,"15–24",IF(D153&lt;=44,"25–44",IF(D153&lt;=64,"45–64","65+"))))</f>
        <v>1–14</v>
      </c>
      <c r="S153" s="72" t="str">
        <f aca="false">IF(J153&lt;=30,"Up to 30",IF(J153&lt;=60,"31–60",IF(J153&lt;=90,"61–90","Over 90")))</f>
        <v>Up to 30</v>
      </c>
      <c r="T153" s="71" t="n">
        <f aca="false">IF(J153&gt;'Scenario Lab'!$C$5,1,0)</f>
        <v>0</v>
      </c>
      <c r="U153" s="71" t="n">
        <f aca="false">IF(M153="Yes",1,0)</f>
        <v>1</v>
      </c>
      <c r="V153" s="71" t="n">
        <f aca="false">IF(AND(M153="Yes",N153="Yes"),1,0)</f>
        <v>1</v>
      </c>
      <c r="W153" s="72" t="str">
        <f aca="false">IF(AND(G153="Maternal Health",E153="Male",D153&gt;=15),"Review","OK")</f>
        <v>OK</v>
      </c>
    </row>
    <row r="154" customFormat="false" ht="15" hidden="false" customHeight="false" outlineLevel="0" collapsed="false">
      <c r="A154" s="67" t="s">
        <v>474</v>
      </c>
      <c r="B154" s="67" t="s">
        <v>475</v>
      </c>
      <c r="C154" s="68" t="n">
        <v>46145</v>
      </c>
      <c r="D154" s="67" t="n">
        <v>3</v>
      </c>
      <c r="E154" s="67" t="s">
        <v>164</v>
      </c>
      <c r="F154" s="67" t="s">
        <v>63</v>
      </c>
      <c r="G154" s="67" t="s">
        <v>58</v>
      </c>
      <c r="H154" s="67" t="s">
        <v>58</v>
      </c>
      <c r="I154" s="67" t="s">
        <v>107</v>
      </c>
      <c r="J154" s="67" t="n">
        <v>61</v>
      </c>
      <c r="K154" s="69" t="n">
        <v>13.6</v>
      </c>
      <c r="L154" s="70" t="n">
        <v>381369</v>
      </c>
      <c r="M154" s="67" t="s">
        <v>169</v>
      </c>
      <c r="N154" s="67" t="s">
        <v>170</v>
      </c>
      <c r="O154" s="67" t="n">
        <v>4</v>
      </c>
      <c r="P154" s="67" t="s">
        <v>166</v>
      </c>
      <c r="Q154" s="71" t="n">
        <f aca="false">MONTH(C154)</f>
        <v>5</v>
      </c>
      <c r="R154" s="72" t="str">
        <f aca="false">IF(D154&lt;=14,"1–14",IF(D154&lt;=24,"15–24",IF(D154&lt;=44,"25–44",IF(D154&lt;=64,"45–64","65+"))))</f>
        <v>1–14</v>
      </c>
      <c r="S154" s="72" t="str">
        <f aca="false">IF(J154&lt;=30,"Up to 30",IF(J154&lt;=60,"31–60",IF(J154&lt;=90,"61–90","Over 90")))</f>
        <v>61–90</v>
      </c>
      <c r="T154" s="71" t="n">
        <f aca="false">IF(J154&gt;'Scenario Lab'!$C$5,1,0)</f>
        <v>1</v>
      </c>
      <c r="U154" s="71" t="n">
        <f aca="false">IF(M154="Yes",1,0)</f>
        <v>0</v>
      </c>
      <c r="V154" s="71" t="n">
        <f aca="false">IF(AND(M154="Yes",N154="Yes"),1,0)</f>
        <v>0</v>
      </c>
      <c r="W154" s="72" t="str">
        <f aca="false">IF(AND(G154="Maternal Health",E154="Male",D154&gt;=15),"Review","OK")</f>
        <v>OK</v>
      </c>
    </row>
    <row r="155" customFormat="false" ht="15" hidden="false" customHeight="false" outlineLevel="0" collapsed="false">
      <c r="A155" s="67" t="s">
        <v>476</v>
      </c>
      <c r="B155" s="67" t="s">
        <v>477</v>
      </c>
      <c r="C155" s="68" t="n">
        <v>46212</v>
      </c>
      <c r="D155" s="67" t="n">
        <v>70</v>
      </c>
      <c r="E155" s="67" t="s">
        <v>173</v>
      </c>
      <c r="F155" s="67" t="s">
        <v>61</v>
      </c>
      <c r="G155" s="67" t="s">
        <v>58</v>
      </c>
      <c r="H155" s="67" t="s">
        <v>58</v>
      </c>
      <c r="I155" s="67" t="s">
        <v>105</v>
      </c>
      <c r="J155" s="67" t="n">
        <v>56</v>
      </c>
      <c r="K155" s="69" t="n">
        <v>0.8</v>
      </c>
      <c r="L155" s="70" t="n">
        <v>153480</v>
      </c>
      <c r="M155" s="67" t="s">
        <v>165</v>
      </c>
      <c r="N155" s="67" t="s">
        <v>169</v>
      </c>
      <c r="O155" s="67" t="n">
        <v>5</v>
      </c>
      <c r="P155" s="67" t="s">
        <v>180</v>
      </c>
      <c r="Q155" s="71" t="n">
        <f aca="false">MONTH(C155)</f>
        <v>7</v>
      </c>
      <c r="R155" s="72" t="str">
        <f aca="false">IF(D155&lt;=14,"1–14",IF(D155&lt;=24,"15–24",IF(D155&lt;=44,"25–44",IF(D155&lt;=64,"45–64","65+"))))</f>
        <v>65+</v>
      </c>
      <c r="S155" s="72" t="str">
        <f aca="false">IF(J155&lt;=30,"Up to 30",IF(J155&lt;=60,"31–60",IF(J155&lt;=90,"61–90","Over 90")))</f>
        <v>31–60</v>
      </c>
      <c r="T155" s="71" t="n">
        <f aca="false">IF(J155&gt;'Scenario Lab'!$C$5,1,0)</f>
        <v>0</v>
      </c>
      <c r="U155" s="71" t="n">
        <f aca="false">IF(M155="Yes",1,0)</f>
        <v>1</v>
      </c>
      <c r="V155" s="71" t="n">
        <f aca="false">IF(AND(M155="Yes",N155="Yes"),1,0)</f>
        <v>0</v>
      </c>
      <c r="W155" s="72" t="str">
        <f aca="false">IF(AND(G155="Maternal Health",E155="Male",D155&gt;=15),"Review","OK")</f>
        <v>OK</v>
      </c>
    </row>
    <row r="156" customFormat="false" ht="15" hidden="false" customHeight="false" outlineLevel="0" collapsed="false">
      <c r="A156" s="67" t="s">
        <v>478</v>
      </c>
      <c r="B156" s="67" t="s">
        <v>479</v>
      </c>
      <c r="C156" s="68" t="n">
        <v>46278</v>
      </c>
      <c r="D156" s="67" t="n">
        <v>12</v>
      </c>
      <c r="E156" s="67" t="s">
        <v>164</v>
      </c>
      <c r="F156" s="67" t="s">
        <v>59</v>
      </c>
      <c r="G156" s="67" t="s">
        <v>66</v>
      </c>
      <c r="H156" s="67" t="s">
        <v>64</v>
      </c>
      <c r="I156" s="67" t="s">
        <v>108</v>
      </c>
      <c r="J156" s="67" t="n">
        <v>51</v>
      </c>
      <c r="K156" s="69" t="n">
        <v>1.2</v>
      </c>
      <c r="L156" s="70" t="n">
        <v>49983</v>
      </c>
      <c r="M156" s="67" t="s">
        <v>165</v>
      </c>
      <c r="N156" s="67" t="s">
        <v>165</v>
      </c>
      <c r="O156" s="67" t="n">
        <v>4</v>
      </c>
      <c r="P156" s="67" t="s">
        <v>180</v>
      </c>
      <c r="Q156" s="71" t="n">
        <f aca="false">MONTH(C156)</f>
        <v>9</v>
      </c>
      <c r="R156" s="72" t="str">
        <f aca="false">IF(D156&lt;=14,"1–14",IF(D156&lt;=24,"15–24",IF(D156&lt;=44,"25–44",IF(D156&lt;=64,"45–64","65+"))))</f>
        <v>1–14</v>
      </c>
      <c r="S156" s="72" t="str">
        <f aca="false">IF(J156&lt;=30,"Up to 30",IF(J156&lt;=60,"31–60",IF(J156&lt;=90,"61–90","Over 90")))</f>
        <v>31–60</v>
      </c>
      <c r="T156" s="71" t="n">
        <f aca="false">IF(J156&gt;'Scenario Lab'!$C$5,1,0)</f>
        <v>0</v>
      </c>
      <c r="U156" s="71" t="n">
        <f aca="false">IF(M156="Yes",1,0)</f>
        <v>1</v>
      </c>
      <c r="V156" s="71" t="n">
        <f aca="false">IF(AND(M156="Yes",N156="Yes"),1,0)</f>
        <v>1</v>
      </c>
      <c r="W156" s="72" t="str">
        <f aca="false">IF(AND(G156="Maternal Health",E156="Male",D156&gt;=15),"Review","OK")</f>
        <v>OK</v>
      </c>
    </row>
    <row r="157" customFormat="false" ht="15" hidden="false" customHeight="false" outlineLevel="0" collapsed="false">
      <c r="A157" s="67" t="s">
        <v>480</v>
      </c>
      <c r="B157" s="67" t="s">
        <v>481</v>
      </c>
      <c r="C157" s="68" t="n">
        <v>46053</v>
      </c>
      <c r="D157" s="67" t="n">
        <v>64</v>
      </c>
      <c r="E157" s="67" t="s">
        <v>173</v>
      </c>
      <c r="F157" s="67" t="s">
        <v>65</v>
      </c>
      <c r="G157" s="67" t="s">
        <v>58</v>
      </c>
      <c r="H157" s="67" t="s">
        <v>58</v>
      </c>
      <c r="I157" s="67" t="s">
        <v>106</v>
      </c>
      <c r="J157" s="67" t="n">
        <v>66</v>
      </c>
      <c r="K157" s="69" t="n">
        <v>0</v>
      </c>
      <c r="L157" s="70" t="n">
        <v>85749</v>
      </c>
      <c r="M157" s="67" t="s">
        <v>169</v>
      </c>
      <c r="N157" s="67" t="s">
        <v>170</v>
      </c>
      <c r="O157" s="67" t="n">
        <v>3</v>
      </c>
      <c r="P157" s="67" t="s">
        <v>166</v>
      </c>
      <c r="Q157" s="71" t="n">
        <f aca="false">MONTH(C157)</f>
        <v>1</v>
      </c>
      <c r="R157" s="72" t="str">
        <f aca="false">IF(D157&lt;=14,"1–14",IF(D157&lt;=24,"15–24",IF(D157&lt;=44,"25–44",IF(D157&lt;=64,"45–64","65+"))))</f>
        <v>45–64</v>
      </c>
      <c r="S157" s="72" t="str">
        <f aca="false">IF(J157&lt;=30,"Up to 30",IF(J157&lt;=60,"31–60",IF(J157&lt;=90,"61–90","Over 90")))</f>
        <v>61–90</v>
      </c>
      <c r="T157" s="71" t="n">
        <f aca="false">IF(J157&gt;'Scenario Lab'!$C$5,1,0)</f>
        <v>1</v>
      </c>
      <c r="U157" s="71" t="n">
        <f aca="false">IF(M157="Yes",1,0)</f>
        <v>0</v>
      </c>
      <c r="V157" s="71" t="n">
        <f aca="false">IF(AND(M157="Yes",N157="Yes"),1,0)</f>
        <v>0</v>
      </c>
      <c r="W157" s="72" t="str">
        <f aca="false">IF(AND(G157="Maternal Health",E157="Male",D157&gt;=15),"Review","OK")</f>
        <v>OK</v>
      </c>
    </row>
    <row r="158" customFormat="false" ht="15" hidden="false" customHeight="false" outlineLevel="0" collapsed="false">
      <c r="A158" s="67" t="s">
        <v>482</v>
      </c>
      <c r="B158" s="67" t="s">
        <v>483</v>
      </c>
      <c r="C158" s="68" t="n">
        <v>46270</v>
      </c>
      <c r="D158" s="67" t="n">
        <v>8</v>
      </c>
      <c r="E158" s="67" t="s">
        <v>164</v>
      </c>
      <c r="F158" s="67" t="s">
        <v>65</v>
      </c>
      <c r="G158" s="67" t="s">
        <v>58</v>
      </c>
      <c r="H158" s="67" t="s">
        <v>58</v>
      </c>
      <c r="I158" s="67" t="s">
        <v>103</v>
      </c>
      <c r="J158" s="67" t="n">
        <v>66</v>
      </c>
      <c r="K158" s="69" t="n">
        <v>0</v>
      </c>
      <c r="L158" s="70" t="n">
        <v>98103</v>
      </c>
      <c r="M158" s="67" t="s">
        <v>165</v>
      </c>
      <c r="N158" s="67" t="s">
        <v>165</v>
      </c>
      <c r="O158" s="67" t="n">
        <v>4</v>
      </c>
      <c r="P158" s="67" t="s">
        <v>112</v>
      </c>
      <c r="Q158" s="71" t="n">
        <f aca="false">MONTH(C158)</f>
        <v>9</v>
      </c>
      <c r="R158" s="72" t="str">
        <f aca="false">IF(D158&lt;=14,"1–14",IF(D158&lt;=24,"15–24",IF(D158&lt;=44,"25–44",IF(D158&lt;=64,"45–64","65+"))))</f>
        <v>1–14</v>
      </c>
      <c r="S158" s="72" t="str">
        <f aca="false">IF(J158&lt;=30,"Up to 30",IF(J158&lt;=60,"31–60",IF(J158&lt;=90,"61–90","Over 90")))</f>
        <v>61–90</v>
      </c>
      <c r="T158" s="71" t="n">
        <f aca="false">IF(J158&gt;'Scenario Lab'!$C$5,1,0)</f>
        <v>1</v>
      </c>
      <c r="U158" s="71" t="n">
        <f aca="false">IF(M158="Yes",1,0)</f>
        <v>1</v>
      </c>
      <c r="V158" s="71" t="n">
        <f aca="false">IF(AND(M158="Yes",N158="Yes"),1,0)</f>
        <v>1</v>
      </c>
      <c r="W158" s="72" t="str">
        <f aca="false">IF(AND(G158="Maternal Health",E158="Male",D158&gt;=15),"Review","OK")</f>
        <v>OK</v>
      </c>
    </row>
    <row r="159" customFormat="false" ht="15" hidden="false" customHeight="false" outlineLevel="0" collapsed="false">
      <c r="A159" s="67" t="s">
        <v>484</v>
      </c>
      <c r="B159" s="67" t="s">
        <v>485</v>
      </c>
      <c r="C159" s="68" t="n">
        <v>46114</v>
      </c>
      <c r="D159" s="67" t="n">
        <v>31</v>
      </c>
      <c r="E159" s="67" t="s">
        <v>164</v>
      </c>
      <c r="F159" s="67" t="s">
        <v>59</v>
      </c>
      <c r="G159" s="67" t="s">
        <v>62</v>
      </c>
      <c r="H159" s="67" t="s">
        <v>58</v>
      </c>
      <c r="I159" s="67" t="s">
        <v>108</v>
      </c>
      <c r="J159" s="67" t="n">
        <v>56</v>
      </c>
      <c r="K159" s="69" t="n">
        <v>0.2</v>
      </c>
      <c r="L159" s="70" t="n">
        <v>76335</v>
      </c>
      <c r="M159" s="67" t="s">
        <v>169</v>
      </c>
      <c r="N159" s="67" t="s">
        <v>170</v>
      </c>
      <c r="O159" s="67" t="n">
        <v>4</v>
      </c>
      <c r="P159" s="67" t="s">
        <v>112</v>
      </c>
      <c r="Q159" s="71" t="n">
        <f aca="false">MONTH(C159)</f>
        <v>4</v>
      </c>
      <c r="R159" s="72" t="str">
        <f aca="false">IF(D159&lt;=14,"1–14",IF(D159&lt;=24,"15–24",IF(D159&lt;=44,"25–44",IF(D159&lt;=64,"45–64","65+"))))</f>
        <v>25–44</v>
      </c>
      <c r="S159" s="72" t="str">
        <f aca="false">IF(J159&lt;=30,"Up to 30",IF(J159&lt;=60,"31–60",IF(J159&lt;=90,"61–90","Over 90")))</f>
        <v>31–60</v>
      </c>
      <c r="T159" s="71" t="n">
        <f aca="false">IF(J159&gt;'Scenario Lab'!$C$5,1,0)</f>
        <v>0</v>
      </c>
      <c r="U159" s="71" t="n">
        <f aca="false">IF(M159="Yes",1,0)</f>
        <v>0</v>
      </c>
      <c r="V159" s="71" t="n">
        <f aca="false">IF(AND(M159="Yes",N159="Yes"),1,0)</f>
        <v>0</v>
      </c>
      <c r="W159" s="72" t="str">
        <f aca="false">IF(AND(G159="Maternal Health",E159="Male",D159&gt;=15),"Review","OK")</f>
        <v>OK</v>
      </c>
    </row>
    <row r="160" customFormat="false" ht="15" hidden="false" customHeight="false" outlineLevel="0" collapsed="false">
      <c r="A160" s="67" t="s">
        <v>486</v>
      </c>
      <c r="B160" s="67" t="s">
        <v>487</v>
      </c>
      <c r="C160" s="68" t="n">
        <v>46138</v>
      </c>
      <c r="D160" s="67" t="n">
        <v>44</v>
      </c>
      <c r="E160" s="67" t="s">
        <v>164</v>
      </c>
      <c r="F160" s="67" t="s">
        <v>67</v>
      </c>
      <c r="G160" s="67" t="s">
        <v>60</v>
      </c>
      <c r="H160" s="67" t="s">
        <v>58</v>
      </c>
      <c r="I160" s="67" t="s">
        <v>106</v>
      </c>
      <c r="J160" s="67" t="n">
        <v>53</v>
      </c>
      <c r="K160" s="69" t="n">
        <v>0.2</v>
      </c>
      <c r="L160" s="70" t="n">
        <v>48426</v>
      </c>
      <c r="M160" s="67" t="s">
        <v>165</v>
      </c>
      <c r="N160" s="67" t="s">
        <v>165</v>
      </c>
      <c r="O160" s="67" t="n">
        <v>4</v>
      </c>
      <c r="P160" s="67" t="s">
        <v>285</v>
      </c>
      <c r="Q160" s="71" t="n">
        <f aca="false">MONTH(C160)</f>
        <v>4</v>
      </c>
      <c r="R160" s="72" t="str">
        <f aca="false">IF(D160&lt;=14,"1–14",IF(D160&lt;=24,"15–24",IF(D160&lt;=44,"25–44",IF(D160&lt;=64,"45–64","65+"))))</f>
        <v>25–44</v>
      </c>
      <c r="S160" s="72" t="str">
        <f aca="false">IF(J160&lt;=30,"Up to 30",IF(J160&lt;=60,"31–60",IF(J160&lt;=90,"61–90","Over 90")))</f>
        <v>31–60</v>
      </c>
      <c r="T160" s="71" t="n">
        <f aca="false">IF(J160&gt;'Scenario Lab'!$C$5,1,0)</f>
        <v>0</v>
      </c>
      <c r="U160" s="71" t="n">
        <f aca="false">IF(M160="Yes",1,0)</f>
        <v>1</v>
      </c>
      <c r="V160" s="71" t="n">
        <f aca="false">IF(AND(M160="Yes",N160="Yes"),1,0)</f>
        <v>1</v>
      </c>
      <c r="W160" s="72" t="str">
        <f aca="false">IF(AND(G160="Maternal Health",E160="Male",D160&gt;=15),"Review","OK")</f>
        <v>OK</v>
      </c>
    </row>
    <row r="161" customFormat="false" ht="15" hidden="false" customHeight="false" outlineLevel="0" collapsed="false">
      <c r="A161" s="67" t="s">
        <v>488</v>
      </c>
      <c r="B161" s="67" t="s">
        <v>489</v>
      </c>
      <c r="C161" s="68" t="n">
        <v>46192</v>
      </c>
      <c r="D161" s="67" t="n">
        <v>14</v>
      </c>
      <c r="E161" s="67" t="s">
        <v>164</v>
      </c>
      <c r="F161" s="67" t="s">
        <v>59</v>
      </c>
      <c r="G161" s="67" t="s">
        <v>66</v>
      </c>
      <c r="H161" s="67" t="s">
        <v>64</v>
      </c>
      <c r="I161" s="67" t="s">
        <v>109</v>
      </c>
      <c r="J161" s="67" t="n">
        <v>36</v>
      </c>
      <c r="K161" s="69" t="n">
        <v>0.8</v>
      </c>
      <c r="L161" s="70" t="n">
        <v>40999</v>
      </c>
      <c r="M161" s="67" t="s">
        <v>165</v>
      </c>
      <c r="N161" s="67" t="s">
        <v>169</v>
      </c>
      <c r="O161" s="67" t="n">
        <v>4</v>
      </c>
      <c r="P161" s="67" t="s">
        <v>112</v>
      </c>
      <c r="Q161" s="71" t="n">
        <f aca="false">MONTH(C161)</f>
        <v>6</v>
      </c>
      <c r="R161" s="72" t="str">
        <f aca="false">IF(D161&lt;=14,"1–14",IF(D161&lt;=24,"15–24",IF(D161&lt;=44,"25–44",IF(D161&lt;=64,"45–64","65+"))))</f>
        <v>1–14</v>
      </c>
      <c r="S161" s="72" t="str">
        <f aca="false">IF(J161&lt;=30,"Up to 30",IF(J161&lt;=60,"31–60",IF(J161&lt;=90,"61–90","Over 90")))</f>
        <v>31–60</v>
      </c>
      <c r="T161" s="71" t="n">
        <f aca="false">IF(J161&gt;'Scenario Lab'!$C$5,1,0)</f>
        <v>0</v>
      </c>
      <c r="U161" s="71" t="n">
        <f aca="false">IF(M161="Yes",1,0)</f>
        <v>1</v>
      </c>
      <c r="V161" s="71" t="n">
        <f aca="false">IF(AND(M161="Yes",N161="Yes"),1,0)</f>
        <v>0</v>
      </c>
      <c r="W161" s="72" t="str">
        <f aca="false">IF(AND(G161="Maternal Health",E161="Male",D161&gt;=15),"Review","OK")</f>
        <v>OK</v>
      </c>
    </row>
    <row r="162" customFormat="false" ht="15" hidden="false" customHeight="false" outlineLevel="0" collapsed="false">
      <c r="A162" s="67" t="s">
        <v>490</v>
      </c>
      <c r="B162" s="67" t="s">
        <v>491</v>
      </c>
      <c r="C162" s="68" t="n">
        <v>46039</v>
      </c>
      <c r="D162" s="67" t="n">
        <v>34</v>
      </c>
      <c r="E162" s="67" t="s">
        <v>164</v>
      </c>
      <c r="F162" s="67" t="s">
        <v>63</v>
      </c>
      <c r="G162" s="67" t="s">
        <v>62</v>
      </c>
      <c r="H162" s="67" t="s">
        <v>64</v>
      </c>
      <c r="I162" s="67" t="s">
        <v>108</v>
      </c>
      <c r="J162" s="67" t="n">
        <v>49</v>
      </c>
      <c r="K162" s="69" t="n">
        <v>3.2</v>
      </c>
      <c r="L162" s="70" t="n">
        <v>139307</v>
      </c>
      <c r="M162" s="67" t="s">
        <v>165</v>
      </c>
      <c r="N162" s="67" t="s">
        <v>165</v>
      </c>
      <c r="O162" s="67" t="n">
        <v>4</v>
      </c>
      <c r="P162" s="67" t="s">
        <v>180</v>
      </c>
      <c r="Q162" s="71" t="n">
        <f aca="false">MONTH(C162)</f>
        <v>1</v>
      </c>
      <c r="R162" s="72" t="str">
        <f aca="false">IF(D162&lt;=14,"1–14",IF(D162&lt;=24,"15–24",IF(D162&lt;=44,"25–44",IF(D162&lt;=64,"45–64","65+"))))</f>
        <v>25–44</v>
      </c>
      <c r="S162" s="72" t="str">
        <f aca="false">IF(J162&lt;=30,"Up to 30",IF(J162&lt;=60,"31–60",IF(J162&lt;=90,"61–90","Over 90")))</f>
        <v>31–60</v>
      </c>
      <c r="T162" s="71" t="n">
        <f aca="false">IF(J162&gt;'Scenario Lab'!$C$5,1,0)</f>
        <v>0</v>
      </c>
      <c r="U162" s="71" t="n">
        <f aca="false">IF(M162="Yes",1,0)</f>
        <v>1</v>
      </c>
      <c r="V162" s="71" t="n">
        <f aca="false">IF(AND(M162="Yes",N162="Yes"),1,0)</f>
        <v>1</v>
      </c>
      <c r="W162" s="72" t="str">
        <f aca="false">IF(AND(G162="Maternal Health",E162="Male",D162&gt;=15),"Review","OK")</f>
        <v>OK</v>
      </c>
    </row>
    <row r="163" customFormat="false" ht="15" hidden="false" customHeight="false" outlineLevel="0" collapsed="false">
      <c r="A163" s="67" t="s">
        <v>492</v>
      </c>
      <c r="B163" s="67" t="s">
        <v>493</v>
      </c>
      <c r="C163" s="68" t="n">
        <v>46192</v>
      </c>
      <c r="D163" s="67" t="n">
        <v>37</v>
      </c>
      <c r="E163" s="67" t="s">
        <v>164</v>
      </c>
      <c r="F163" s="67" t="s">
        <v>67</v>
      </c>
      <c r="G163" s="67" t="s">
        <v>60</v>
      </c>
      <c r="H163" s="67" t="s">
        <v>64</v>
      </c>
      <c r="I163" s="67" t="s">
        <v>106</v>
      </c>
      <c r="J163" s="67" t="n">
        <v>45</v>
      </c>
      <c r="K163" s="69" t="n">
        <v>2.7</v>
      </c>
      <c r="L163" s="70" t="n">
        <v>101327</v>
      </c>
      <c r="M163" s="67" t="s">
        <v>165</v>
      </c>
      <c r="N163" s="67" t="s">
        <v>165</v>
      </c>
      <c r="O163" s="67" t="n">
        <v>4</v>
      </c>
      <c r="P163" s="67" t="s">
        <v>180</v>
      </c>
      <c r="Q163" s="71" t="n">
        <f aca="false">MONTH(C163)</f>
        <v>6</v>
      </c>
      <c r="R163" s="72" t="str">
        <f aca="false">IF(D163&lt;=14,"1–14",IF(D163&lt;=24,"15–24",IF(D163&lt;=44,"25–44",IF(D163&lt;=64,"45–64","65+"))))</f>
        <v>25–44</v>
      </c>
      <c r="S163" s="72" t="str">
        <f aca="false">IF(J163&lt;=30,"Up to 30",IF(J163&lt;=60,"31–60",IF(J163&lt;=90,"61–90","Over 90")))</f>
        <v>31–60</v>
      </c>
      <c r="T163" s="71" t="n">
        <f aca="false">IF(J163&gt;'Scenario Lab'!$C$5,1,0)</f>
        <v>0</v>
      </c>
      <c r="U163" s="71" t="n">
        <f aca="false">IF(M163="Yes",1,0)</f>
        <v>1</v>
      </c>
      <c r="V163" s="71" t="n">
        <f aca="false">IF(AND(M163="Yes",N163="Yes"),1,0)</f>
        <v>1</v>
      </c>
      <c r="W163" s="72" t="str">
        <f aca="false">IF(AND(G163="Maternal Health",E163="Male",D163&gt;=15),"Review","OK")</f>
        <v>OK</v>
      </c>
    </row>
    <row r="164" customFormat="false" ht="15" hidden="false" customHeight="false" outlineLevel="0" collapsed="false">
      <c r="A164" s="67" t="s">
        <v>494</v>
      </c>
      <c r="B164" s="67" t="s">
        <v>495</v>
      </c>
      <c r="C164" s="68" t="n">
        <v>46226</v>
      </c>
      <c r="D164" s="67" t="n">
        <v>12</v>
      </c>
      <c r="E164" s="67" t="s">
        <v>164</v>
      </c>
      <c r="F164" s="67" t="s">
        <v>67</v>
      </c>
      <c r="G164" s="67" t="s">
        <v>66</v>
      </c>
      <c r="H164" s="67" t="s">
        <v>112</v>
      </c>
      <c r="I164" s="67" t="s">
        <v>109</v>
      </c>
      <c r="J164" s="67" t="n">
        <v>13</v>
      </c>
      <c r="K164" s="69" t="n">
        <v>0</v>
      </c>
      <c r="L164" s="70" t="n">
        <v>42411</v>
      </c>
      <c r="M164" s="67" t="s">
        <v>169</v>
      </c>
      <c r="N164" s="67" t="s">
        <v>170</v>
      </c>
      <c r="O164" s="67" t="n">
        <v>5</v>
      </c>
      <c r="P164" s="67" t="s">
        <v>112</v>
      </c>
      <c r="Q164" s="71" t="n">
        <f aca="false">MONTH(C164)</f>
        <v>7</v>
      </c>
      <c r="R164" s="72" t="str">
        <f aca="false">IF(D164&lt;=14,"1–14",IF(D164&lt;=24,"15–24",IF(D164&lt;=44,"25–44",IF(D164&lt;=64,"45–64","65+"))))</f>
        <v>1–14</v>
      </c>
      <c r="S164" s="72" t="str">
        <f aca="false">IF(J164&lt;=30,"Up to 30",IF(J164&lt;=60,"31–60",IF(J164&lt;=90,"61–90","Over 90")))</f>
        <v>Up to 30</v>
      </c>
      <c r="T164" s="71" t="n">
        <f aca="false">IF(J164&gt;'Scenario Lab'!$C$5,1,0)</f>
        <v>0</v>
      </c>
      <c r="U164" s="71" t="n">
        <f aca="false">IF(M164="Yes",1,0)</f>
        <v>0</v>
      </c>
      <c r="V164" s="71" t="n">
        <f aca="false">IF(AND(M164="Yes",N164="Yes"),1,0)</f>
        <v>0</v>
      </c>
      <c r="W164" s="72" t="str">
        <f aca="false">IF(AND(G164="Maternal Health",E164="Male",D164&gt;=15),"Review","OK")</f>
        <v>OK</v>
      </c>
    </row>
    <row r="165" customFormat="false" ht="15" hidden="false" customHeight="false" outlineLevel="0" collapsed="false">
      <c r="A165" s="67" t="s">
        <v>496</v>
      </c>
      <c r="B165" s="67" t="s">
        <v>497</v>
      </c>
      <c r="C165" s="68" t="n">
        <v>46149</v>
      </c>
      <c r="D165" s="67" t="n">
        <v>23</v>
      </c>
      <c r="E165" s="67" t="s">
        <v>173</v>
      </c>
      <c r="F165" s="67" t="s">
        <v>65</v>
      </c>
      <c r="G165" s="67" t="s">
        <v>64</v>
      </c>
      <c r="H165" s="67" t="s">
        <v>64</v>
      </c>
      <c r="I165" s="67" t="s">
        <v>103</v>
      </c>
      <c r="J165" s="67" t="n">
        <v>55</v>
      </c>
      <c r="K165" s="69" t="n">
        <v>0.4</v>
      </c>
      <c r="L165" s="70" t="n">
        <v>42517</v>
      </c>
      <c r="M165" s="67" t="s">
        <v>165</v>
      </c>
      <c r="N165" s="67" t="s">
        <v>169</v>
      </c>
      <c r="O165" s="67" t="n">
        <v>5</v>
      </c>
      <c r="P165" s="67" t="s">
        <v>166</v>
      </c>
      <c r="Q165" s="71" t="n">
        <f aca="false">MONTH(C165)</f>
        <v>5</v>
      </c>
      <c r="R165" s="72" t="str">
        <f aca="false">IF(D165&lt;=14,"1–14",IF(D165&lt;=24,"15–24",IF(D165&lt;=44,"25–44",IF(D165&lt;=64,"45–64","65+"))))</f>
        <v>15–24</v>
      </c>
      <c r="S165" s="72" t="str">
        <f aca="false">IF(J165&lt;=30,"Up to 30",IF(J165&lt;=60,"31–60",IF(J165&lt;=90,"61–90","Over 90")))</f>
        <v>31–60</v>
      </c>
      <c r="T165" s="71" t="n">
        <f aca="false">IF(J165&gt;'Scenario Lab'!$C$5,1,0)</f>
        <v>0</v>
      </c>
      <c r="U165" s="71" t="n">
        <f aca="false">IF(M165="Yes",1,0)</f>
        <v>1</v>
      </c>
      <c r="V165" s="71" t="n">
        <f aca="false">IF(AND(M165="Yes",N165="Yes"),1,0)</f>
        <v>0</v>
      </c>
      <c r="W165" s="72" t="str">
        <f aca="false">IF(AND(G165="Maternal Health",E165="Male",D165&gt;=15),"Review","OK")</f>
        <v>OK</v>
      </c>
    </row>
    <row r="166" customFormat="false" ht="15" hidden="false" customHeight="false" outlineLevel="0" collapsed="false">
      <c r="A166" s="67" t="s">
        <v>498</v>
      </c>
      <c r="B166" s="67" t="s">
        <v>499</v>
      </c>
      <c r="C166" s="68" t="n">
        <v>46252</v>
      </c>
      <c r="D166" s="67" t="n">
        <v>63</v>
      </c>
      <c r="E166" s="67" t="s">
        <v>164</v>
      </c>
      <c r="F166" s="67" t="s">
        <v>65</v>
      </c>
      <c r="G166" s="67" t="s">
        <v>68</v>
      </c>
      <c r="H166" s="67" t="s">
        <v>64</v>
      </c>
      <c r="I166" s="67" t="s">
        <v>107</v>
      </c>
      <c r="J166" s="67" t="n">
        <v>69</v>
      </c>
      <c r="K166" s="69" t="n">
        <v>0</v>
      </c>
      <c r="L166" s="70" t="n">
        <v>166608</v>
      </c>
      <c r="M166" s="67" t="s">
        <v>165</v>
      </c>
      <c r="N166" s="67" t="s">
        <v>165</v>
      </c>
      <c r="O166" s="67" t="n">
        <v>4</v>
      </c>
      <c r="P166" s="67" t="s">
        <v>166</v>
      </c>
      <c r="Q166" s="71" t="n">
        <f aca="false">MONTH(C166)</f>
        <v>8</v>
      </c>
      <c r="R166" s="72" t="str">
        <f aca="false">IF(D166&lt;=14,"1–14",IF(D166&lt;=24,"15–24",IF(D166&lt;=44,"25–44",IF(D166&lt;=64,"45–64","65+"))))</f>
        <v>45–64</v>
      </c>
      <c r="S166" s="72" t="str">
        <f aca="false">IF(J166&lt;=30,"Up to 30",IF(J166&lt;=60,"31–60",IF(J166&lt;=90,"61–90","Over 90")))</f>
        <v>61–90</v>
      </c>
      <c r="T166" s="71" t="n">
        <f aca="false">IF(J166&gt;'Scenario Lab'!$C$5,1,0)</f>
        <v>1</v>
      </c>
      <c r="U166" s="71" t="n">
        <f aca="false">IF(M166="Yes",1,0)</f>
        <v>1</v>
      </c>
      <c r="V166" s="71" t="n">
        <f aca="false">IF(AND(M166="Yes",N166="Yes"),1,0)</f>
        <v>1</v>
      </c>
      <c r="W166" s="72" t="str">
        <f aca="false">IF(AND(G166="Maternal Health",E166="Male",D166&gt;=15),"Review","OK")</f>
        <v>OK</v>
      </c>
    </row>
    <row r="167" customFormat="false" ht="15" hidden="false" customHeight="false" outlineLevel="0" collapsed="false">
      <c r="A167" s="67" t="s">
        <v>500</v>
      </c>
      <c r="B167" s="67" t="s">
        <v>501</v>
      </c>
      <c r="C167" s="68" t="n">
        <v>46147</v>
      </c>
      <c r="D167" s="67" t="n">
        <v>13</v>
      </c>
      <c r="E167" s="67" t="s">
        <v>173</v>
      </c>
      <c r="F167" s="67" t="s">
        <v>67</v>
      </c>
      <c r="G167" s="67" t="s">
        <v>58</v>
      </c>
      <c r="H167" s="67" t="s">
        <v>58</v>
      </c>
      <c r="I167" s="67" t="s">
        <v>103</v>
      </c>
      <c r="J167" s="67" t="n">
        <v>71</v>
      </c>
      <c r="K167" s="69" t="n">
        <v>0.3</v>
      </c>
      <c r="L167" s="70" t="n">
        <v>84394</v>
      </c>
      <c r="M167" s="67" t="s">
        <v>165</v>
      </c>
      <c r="N167" s="67" t="s">
        <v>165</v>
      </c>
      <c r="O167" s="67" t="n">
        <v>4</v>
      </c>
      <c r="P167" s="67" t="s">
        <v>180</v>
      </c>
      <c r="Q167" s="71" t="n">
        <f aca="false">MONTH(C167)</f>
        <v>5</v>
      </c>
      <c r="R167" s="72" t="str">
        <f aca="false">IF(D167&lt;=14,"1–14",IF(D167&lt;=24,"15–24",IF(D167&lt;=44,"25–44",IF(D167&lt;=64,"45–64","65+"))))</f>
        <v>1–14</v>
      </c>
      <c r="S167" s="72" t="str">
        <f aca="false">IF(J167&lt;=30,"Up to 30",IF(J167&lt;=60,"31–60",IF(J167&lt;=90,"61–90","Over 90")))</f>
        <v>61–90</v>
      </c>
      <c r="T167" s="71" t="n">
        <f aca="false">IF(J167&gt;'Scenario Lab'!$C$5,1,0)</f>
        <v>1</v>
      </c>
      <c r="U167" s="71" t="n">
        <f aca="false">IF(M167="Yes",1,0)</f>
        <v>1</v>
      </c>
      <c r="V167" s="71" t="n">
        <f aca="false">IF(AND(M167="Yes",N167="Yes"),1,0)</f>
        <v>1</v>
      </c>
      <c r="W167" s="72" t="str">
        <f aca="false">IF(AND(G167="Maternal Health",E167="Male",D167&gt;=15),"Review","OK")</f>
        <v>OK</v>
      </c>
    </row>
    <row r="168" customFormat="false" ht="15" hidden="false" customHeight="false" outlineLevel="0" collapsed="false">
      <c r="A168" s="67" t="s">
        <v>502</v>
      </c>
      <c r="B168" s="67" t="s">
        <v>503</v>
      </c>
      <c r="C168" s="68" t="n">
        <v>46149</v>
      </c>
      <c r="D168" s="67" t="n">
        <v>22</v>
      </c>
      <c r="E168" s="67" t="s">
        <v>173</v>
      </c>
      <c r="F168" s="67" t="s">
        <v>61</v>
      </c>
      <c r="G168" s="67" t="s">
        <v>62</v>
      </c>
      <c r="H168" s="67" t="s">
        <v>64</v>
      </c>
      <c r="I168" s="67" t="s">
        <v>108</v>
      </c>
      <c r="J168" s="67" t="n">
        <v>68</v>
      </c>
      <c r="K168" s="69" t="n">
        <v>0</v>
      </c>
      <c r="L168" s="70" t="n">
        <v>76151</v>
      </c>
      <c r="M168" s="67" t="s">
        <v>165</v>
      </c>
      <c r="N168" s="67" t="s">
        <v>169</v>
      </c>
      <c r="O168" s="67" t="n">
        <v>4</v>
      </c>
      <c r="P168" s="67" t="s">
        <v>166</v>
      </c>
      <c r="Q168" s="71" t="n">
        <f aca="false">MONTH(C168)</f>
        <v>5</v>
      </c>
      <c r="R168" s="72" t="str">
        <f aca="false">IF(D168&lt;=14,"1–14",IF(D168&lt;=24,"15–24",IF(D168&lt;=44,"25–44",IF(D168&lt;=64,"45–64","65+"))))</f>
        <v>15–24</v>
      </c>
      <c r="S168" s="72" t="str">
        <f aca="false">IF(J168&lt;=30,"Up to 30",IF(J168&lt;=60,"31–60",IF(J168&lt;=90,"61–90","Over 90")))</f>
        <v>61–90</v>
      </c>
      <c r="T168" s="71" t="n">
        <f aca="false">IF(J168&gt;'Scenario Lab'!$C$5,1,0)</f>
        <v>1</v>
      </c>
      <c r="U168" s="71" t="n">
        <f aca="false">IF(M168="Yes",1,0)</f>
        <v>1</v>
      </c>
      <c r="V168" s="71" t="n">
        <f aca="false">IF(AND(M168="Yes",N168="Yes"),1,0)</f>
        <v>0</v>
      </c>
      <c r="W168" s="72" t="str">
        <f aca="false">IF(AND(G168="Maternal Health",E168="Male",D168&gt;=15),"Review","OK")</f>
        <v>Review</v>
      </c>
    </row>
    <row r="169" customFormat="false" ht="15" hidden="false" customHeight="false" outlineLevel="0" collapsed="false">
      <c r="A169" s="67" t="s">
        <v>504</v>
      </c>
      <c r="B169" s="67" t="s">
        <v>505</v>
      </c>
      <c r="C169" s="68" t="n">
        <v>46092</v>
      </c>
      <c r="D169" s="67" t="n">
        <v>47</v>
      </c>
      <c r="E169" s="67" t="s">
        <v>164</v>
      </c>
      <c r="F169" s="67" t="s">
        <v>63</v>
      </c>
      <c r="G169" s="67" t="s">
        <v>68</v>
      </c>
      <c r="H169" s="67" t="s">
        <v>64</v>
      </c>
      <c r="I169" s="67" t="s">
        <v>108</v>
      </c>
      <c r="J169" s="67" t="n">
        <v>65</v>
      </c>
      <c r="K169" s="69" t="n">
        <v>0.3</v>
      </c>
      <c r="L169" s="70" t="n">
        <v>141437</v>
      </c>
      <c r="M169" s="67" t="s">
        <v>165</v>
      </c>
      <c r="N169" s="67" t="s">
        <v>165</v>
      </c>
      <c r="O169" s="67" t="n">
        <v>3</v>
      </c>
      <c r="P169" s="67" t="s">
        <v>180</v>
      </c>
      <c r="Q169" s="71" t="n">
        <f aca="false">MONTH(C169)</f>
        <v>3</v>
      </c>
      <c r="R169" s="72" t="str">
        <f aca="false">IF(D169&lt;=14,"1–14",IF(D169&lt;=24,"15–24",IF(D169&lt;=44,"25–44",IF(D169&lt;=64,"45–64","65+"))))</f>
        <v>45–64</v>
      </c>
      <c r="S169" s="72" t="str">
        <f aca="false">IF(J169&lt;=30,"Up to 30",IF(J169&lt;=60,"31–60",IF(J169&lt;=90,"61–90","Over 90")))</f>
        <v>61–90</v>
      </c>
      <c r="T169" s="71" t="n">
        <f aca="false">IF(J169&gt;'Scenario Lab'!$C$5,1,0)</f>
        <v>1</v>
      </c>
      <c r="U169" s="71" t="n">
        <f aca="false">IF(M169="Yes",1,0)</f>
        <v>1</v>
      </c>
      <c r="V169" s="71" t="n">
        <f aca="false">IF(AND(M169="Yes",N169="Yes"),1,0)</f>
        <v>1</v>
      </c>
      <c r="W169" s="72" t="str">
        <f aca="false">IF(AND(G169="Maternal Health",E169="Male",D169&gt;=15),"Review","OK")</f>
        <v>OK</v>
      </c>
    </row>
    <row r="170" customFormat="false" ht="15" hidden="false" customHeight="false" outlineLevel="0" collapsed="false">
      <c r="A170" s="67" t="s">
        <v>506</v>
      </c>
      <c r="B170" s="67" t="s">
        <v>507</v>
      </c>
      <c r="C170" s="68" t="n">
        <v>46224</v>
      </c>
      <c r="D170" s="67" t="n">
        <v>8</v>
      </c>
      <c r="E170" s="67" t="s">
        <v>173</v>
      </c>
      <c r="F170" s="67" t="s">
        <v>63</v>
      </c>
      <c r="G170" s="67" t="s">
        <v>66</v>
      </c>
      <c r="H170" s="67" t="s">
        <v>113</v>
      </c>
      <c r="I170" s="67" t="s">
        <v>108</v>
      </c>
      <c r="J170" s="67" t="n">
        <v>27</v>
      </c>
      <c r="K170" s="69" t="n">
        <v>0.2</v>
      </c>
      <c r="L170" s="70" t="n">
        <v>40459</v>
      </c>
      <c r="M170" s="67" t="s">
        <v>165</v>
      </c>
      <c r="N170" s="67" t="s">
        <v>165</v>
      </c>
      <c r="O170" s="67" t="n">
        <v>4</v>
      </c>
      <c r="P170" s="67" t="s">
        <v>166</v>
      </c>
      <c r="Q170" s="71" t="n">
        <f aca="false">MONTH(C170)</f>
        <v>7</v>
      </c>
      <c r="R170" s="72" t="str">
        <f aca="false">IF(D170&lt;=14,"1–14",IF(D170&lt;=24,"15–24",IF(D170&lt;=44,"25–44",IF(D170&lt;=64,"45–64","65+"))))</f>
        <v>1–14</v>
      </c>
      <c r="S170" s="72" t="str">
        <f aca="false">IF(J170&lt;=30,"Up to 30",IF(J170&lt;=60,"31–60",IF(J170&lt;=90,"61–90","Over 90")))</f>
        <v>Up to 30</v>
      </c>
      <c r="T170" s="71" t="n">
        <f aca="false">IF(J170&gt;'Scenario Lab'!$C$5,1,0)</f>
        <v>0</v>
      </c>
      <c r="U170" s="71" t="n">
        <f aca="false">IF(M170="Yes",1,0)</f>
        <v>1</v>
      </c>
      <c r="V170" s="71" t="n">
        <f aca="false">IF(AND(M170="Yes",N170="Yes"),1,0)</f>
        <v>1</v>
      </c>
      <c r="W170" s="72" t="str">
        <f aca="false">IF(AND(G170="Maternal Health",E170="Male",D170&gt;=15),"Review","OK")</f>
        <v>OK</v>
      </c>
    </row>
    <row r="171" customFormat="false" ht="15" hidden="false" customHeight="false" outlineLevel="0" collapsed="false">
      <c r="A171" s="67" t="s">
        <v>508</v>
      </c>
      <c r="B171" s="67" t="s">
        <v>509</v>
      </c>
      <c r="C171" s="68" t="n">
        <v>46232</v>
      </c>
      <c r="D171" s="67" t="n">
        <v>9</v>
      </c>
      <c r="E171" s="67" t="s">
        <v>164</v>
      </c>
      <c r="F171" s="67" t="s">
        <v>67</v>
      </c>
      <c r="G171" s="67" t="s">
        <v>66</v>
      </c>
      <c r="H171" s="67" t="s">
        <v>64</v>
      </c>
      <c r="I171" s="67" t="s">
        <v>104</v>
      </c>
      <c r="J171" s="67" t="n">
        <v>37</v>
      </c>
      <c r="K171" s="69" t="n">
        <v>4.8</v>
      </c>
      <c r="L171" s="70" t="n">
        <v>96543</v>
      </c>
      <c r="M171" s="67" t="s">
        <v>169</v>
      </c>
      <c r="N171" s="67" t="s">
        <v>170</v>
      </c>
      <c r="O171" s="67" t="n">
        <v>5</v>
      </c>
      <c r="P171" s="67" t="s">
        <v>166</v>
      </c>
      <c r="Q171" s="71" t="n">
        <f aca="false">MONTH(C171)</f>
        <v>7</v>
      </c>
      <c r="R171" s="72" t="str">
        <f aca="false">IF(D171&lt;=14,"1–14",IF(D171&lt;=24,"15–24",IF(D171&lt;=44,"25–44",IF(D171&lt;=64,"45–64","65+"))))</f>
        <v>1–14</v>
      </c>
      <c r="S171" s="72" t="str">
        <f aca="false">IF(J171&lt;=30,"Up to 30",IF(J171&lt;=60,"31–60",IF(J171&lt;=90,"61–90","Over 90")))</f>
        <v>31–60</v>
      </c>
      <c r="T171" s="71" t="n">
        <f aca="false">IF(J171&gt;'Scenario Lab'!$C$5,1,0)</f>
        <v>0</v>
      </c>
      <c r="U171" s="71" t="n">
        <f aca="false">IF(M171="Yes",1,0)</f>
        <v>0</v>
      </c>
      <c r="V171" s="71" t="n">
        <f aca="false">IF(AND(M171="Yes",N171="Yes"),1,0)</f>
        <v>0</v>
      </c>
      <c r="W171" s="72" t="str">
        <f aca="false">IF(AND(G171="Maternal Health",E171="Male",D171&gt;=15),"Review","OK")</f>
        <v>OK</v>
      </c>
    </row>
    <row r="172" customFormat="false" ht="15" hidden="false" customHeight="false" outlineLevel="0" collapsed="false">
      <c r="A172" s="67" t="s">
        <v>510</v>
      </c>
      <c r="B172" s="67" t="s">
        <v>511</v>
      </c>
      <c r="C172" s="68" t="n">
        <v>46237</v>
      </c>
      <c r="D172" s="67" t="n">
        <v>26</v>
      </c>
      <c r="E172" s="67" t="s">
        <v>164</v>
      </c>
      <c r="F172" s="67" t="s">
        <v>65</v>
      </c>
      <c r="G172" s="67" t="s">
        <v>62</v>
      </c>
      <c r="H172" s="67" t="s">
        <v>112</v>
      </c>
      <c r="I172" s="67" t="s">
        <v>108</v>
      </c>
      <c r="J172" s="67" t="n">
        <v>65</v>
      </c>
      <c r="K172" s="69" t="n">
        <v>0</v>
      </c>
      <c r="L172" s="70" t="n">
        <v>87561</v>
      </c>
      <c r="M172" s="67" t="s">
        <v>165</v>
      </c>
      <c r="N172" s="67" t="s">
        <v>165</v>
      </c>
      <c r="O172" s="67" t="n">
        <v>4</v>
      </c>
      <c r="P172" s="67" t="s">
        <v>180</v>
      </c>
      <c r="Q172" s="71" t="n">
        <f aca="false">MONTH(C172)</f>
        <v>8</v>
      </c>
      <c r="R172" s="72" t="str">
        <f aca="false">IF(D172&lt;=14,"1–14",IF(D172&lt;=24,"15–24",IF(D172&lt;=44,"25–44",IF(D172&lt;=64,"45–64","65+"))))</f>
        <v>25–44</v>
      </c>
      <c r="S172" s="72" t="str">
        <f aca="false">IF(J172&lt;=30,"Up to 30",IF(J172&lt;=60,"31–60",IF(J172&lt;=90,"61–90","Over 90")))</f>
        <v>61–90</v>
      </c>
      <c r="T172" s="71" t="n">
        <f aca="false">IF(J172&gt;'Scenario Lab'!$C$5,1,0)</f>
        <v>1</v>
      </c>
      <c r="U172" s="71" t="n">
        <f aca="false">IF(M172="Yes",1,0)</f>
        <v>1</v>
      </c>
      <c r="V172" s="71" t="n">
        <f aca="false">IF(AND(M172="Yes",N172="Yes"),1,0)</f>
        <v>1</v>
      </c>
      <c r="W172" s="72" t="str">
        <f aca="false">IF(AND(G172="Maternal Health",E172="Male",D172&gt;=15),"Review","OK")</f>
        <v>OK</v>
      </c>
    </row>
    <row r="173" customFormat="false" ht="15" hidden="false" customHeight="false" outlineLevel="0" collapsed="false">
      <c r="A173" s="67" t="s">
        <v>512</v>
      </c>
      <c r="B173" s="67" t="s">
        <v>513</v>
      </c>
      <c r="C173" s="68" t="n">
        <v>46227</v>
      </c>
      <c r="D173" s="67" t="n">
        <v>70</v>
      </c>
      <c r="E173" s="67" t="s">
        <v>164</v>
      </c>
      <c r="F173" s="67" t="s">
        <v>59</v>
      </c>
      <c r="G173" s="67" t="s">
        <v>58</v>
      </c>
      <c r="H173" s="67" t="s">
        <v>58</v>
      </c>
      <c r="I173" s="67" t="s">
        <v>104</v>
      </c>
      <c r="J173" s="67" t="n">
        <v>57</v>
      </c>
      <c r="K173" s="69" t="n">
        <v>0.4</v>
      </c>
      <c r="L173" s="70" t="n">
        <v>95406</v>
      </c>
      <c r="M173" s="67" t="s">
        <v>169</v>
      </c>
      <c r="N173" s="67" t="s">
        <v>170</v>
      </c>
      <c r="O173" s="67" t="n">
        <v>4</v>
      </c>
      <c r="P173" s="67" t="s">
        <v>112</v>
      </c>
      <c r="Q173" s="71" t="n">
        <f aca="false">MONTH(C173)</f>
        <v>7</v>
      </c>
      <c r="R173" s="72" t="str">
        <f aca="false">IF(D173&lt;=14,"1–14",IF(D173&lt;=24,"15–24",IF(D173&lt;=44,"25–44",IF(D173&lt;=64,"45–64","65+"))))</f>
        <v>65+</v>
      </c>
      <c r="S173" s="72" t="str">
        <f aca="false">IF(J173&lt;=30,"Up to 30",IF(J173&lt;=60,"31–60",IF(J173&lt;=90,"61–90","Over 90")))</f>
        <v>31–60</v>
      </c>
      <c r="T173" s="71" t="n">
        <f aca="false">IF(J173&gt;'Scenario Lab'!$C$5,1,0)</f>
        <v>0</v>
      </c>
      <c r="U173" s="71" t="n">
        <f aca="false">IF(M173="Yes",1,0)</f>
        <v>0</v>
      </c>
      <c r="V173" s="71" t="n">
        <f aca="false">IF(AND(M173="Yes",N173="Yes"),1,0)</f>
        <v>0</v>
      </c>
      <c r="W173" s="72" t="str">
        <f aca="false">IF(AND(G173="Maternal Health",E173="Male",D173&gt;=15),"Review","OK")</f>
        <v>OK</v>
      </c>
    </row>
    <row r="174" customFormat="false" ht="15" hidden="false" customHeight="false" outlineLevel="0" collapsed="false">
      <c r="A174" s="67" t="s">
        <v>514</v>
      </c>
      <c r="B174" s="67" t="s">
        <v>515</v>
      </c>
      <c r="C174" s="68" t="n">
        <v>46279</v>
      </c>
      <c r="D174" s="67" t="n">
        <v>19</v>
      </c>
      <c r="E174" s="67" t="s">
        <v>164</v>
      </c>
      <c r="F174" s="67" t="s">
        <v>59</v>
      </c>
      <c r="G174" s="67" t="s">
        <v>64</v>
      </c>
      <c r="H174" s="67" t="s">
        <v>64</v>
      </c>
      <c r="I174" s="67" t="s">
        <v>107</v>
      </c>
      <c r="J174" s="67" t="n">
        <v>59</v>
      </c>
      <c r="K174" s="69" t="n">
        <v>2.1</v>
      </c>
      <c r="L174" s="70" t="n">
        <v>42399</v>
      </c>
      <c r="M174" s="67" t="s">
        <v>165</v>
      </c>
      <c r="N174" s="67" t="s">
        <v>165</v>
      </c>
      <c r="O174" s="67" t="n">
        <v>4</v>
      </c>
      <c r="P174" s="67" t="s">
        <v>166</v>
      </c>
      <c r="Q174" s="71" t="n">
        <f aca="false">MONTH(C174)</f>
        <v>9</v>
      </c>
      <c r="R174" s="72" t="str">
        <f aca="false">IF(D174&lt;=14,"1–14",IF(D174&lt;=24,"15–24",IF(D174&lt;=44,"25–44",IF(D174&lt;=64,"45–64","65+"))))</f>
        <v>15–24</v>
      </c>
      <c r="S174" s="72" t="str">
        <f aca="false">IF(J174&lt;=30,"Up to 30",IF(J174&lt;=60,"31–60",IF(J174&lt;=90,"61–90","Over 90")))</f>
        <v>31–60</v>
      </c>
      <c r="T174" s="71" t="n">
        <f aca="false">IF(J174&gt;'Scenario Lab'!$C$5,1,0)</f>
        <v>0</v>
      </c>
      <c r="U174" s="71" t="n">
        <f aca="false">IF(M174="Yes",1,0)</f>
        <v>1</v>
      </c>
      <c r="V174" s="71" t="n">
        <f aca="false">IF(AND(M174="Yes",N174="Yes"),1,0)</f>
        <v>1</v>
      </c>
      <c r="W174" s="72" t="str">
        <f aca="false">IF(AND(G174="Maternal Health",E174="Male",D174&gt;=15),"Review","OK")</f>
        <v>OK</v>
      </c>
    </row>
    <row r="175" customFormat="false" ht="15" hidden="false" customHeight="false" outlineLevel="0" collapsed="false">
      <c r="A175" s="67" t="s">
        <v>516</v>
      </c>
      <c r="B175" s="67" t="s">
        <v>517</v>
      </c>
      <c r="C175" s="68" t="n">
        <v>46201</v>
      </c>
      <c r="D175" s="67" t="n">
        <v>57</v>
      </c>
      <c r="E175" s="67" t="s">
        <v>173</v>
      </c>
      <c r="F175" s="67" t="s">
        <v>65</v>
      </c>
      <c r="G175" s="67" t="s">
        <v>60</v>
      </c>
      <c r="H175" s="67" t="s">
        <v>113</v>
      </c>
      <c r="I175" s="67" t="s">
        <v>107</v>
      </c>
      <c r="J175" s="67" t="n">
        <v>47</v>
      </c>
      <c r="K175" s="69" t="n">
        <v>2.8</v>
      </c>
      <c r="L175" s="70" t="n">
        <v>92107</v>
      </c>
      <c r="M175" s="67" t="s">
        <v>165</v>
      </c>
      <c r="N175" s="67" t="s">
        <v>169</v>
      </c>
      <c r="O175" s="67" t="n">
        <v>4</v>
      </c>
      <c r="P175" s="67" t="s">
        <v>166</v>
      </c>
      <c r="Q175" s="71" t="n">
        <f aca="false">MONTH(C175)</f>
        <v>6</v>
      </c>
      <c r="R175" s="72" t="str">
        <f aca="false">IF(D175&lt;=14,"1–14",IF(D175&lt;=24,"15–24",IF(D175&lt;=44,"25–44",IF(D175&lt;=64,"45–64","65+"))))</f>
        <v>45–64</v>
      </c>
      <c r="S175" s="72" t="str">
        <f aca="false">IF(J175&lt;=30,"Up to 30",IF(J175&lt;=60,"31–60",IF(J175&lt;=90,"61–90","Over 90")))</f>
        <v>31–60</v>
      </c>
      <c r="T175" s="71" t="n">
        <f aca="false">IF(J175&gt;'Scenario Lab'!$C$5,1,0)</f>
        <v>0</v>
      </c>
      <c r="U175" s="71" t="n">
        <f aca="false">IF(M175="Yes",1,0)</f>
        <v>1</v>
      </c>
      <c r="V175" s="71" t="n">
        <f aca="false">IF(AND(M175="Yes",N175="Yes"),1,0)</f>
        <v>0</v>
      </c>
      <c r="W175" s="72" t="str">
        <f aca="false">IF(AND(G175="Maternal Health",E175="Male",D175&gt;=15),"Review","OK")</f>
        <v>OK</v>
      </c>
    </row>
    <row r="176" customFormat="false" ht="15" hidden="false" customHeight="false" outlineLevel="0" collapsed="false">
      <c r="A176" s="67" t="s">
        <v>518</v>
      </c>
      <c r="B176" s="67" t="s">
        <v>519</v>
      </c>
      <c r="C176" s="68" t="n">
        <v>46147</v>
      </c>
      <c r="D176" s="67" t="n">
        <v>42</v>
      </c>
      <c r="E176" s="67" t="s">
        <v>164</v>
      </c>
      <c r="F176" s="67" t="s">
        <v>61</v>
      </c>
      <c r="G176" s="67" t="s">
        <v>58</v>
      </c>
      <c r="H176" s="67" t="s">
        <v>58</v>
      </c>
      <c r="I176" s="67" t="s">
        <v>104</v>
      </c>
      <c r="J176" s="67" t="n">
        <v>81</v>
      </c>
      <c r="K176" s="69" t="n">
        <v>0</v>
      </c>
      <c r="L176" s="70" t="n">
        <v>84739</v>
      </c>
      <c r="M176" s="67" t="s">
        <v>169</v>
      </c>
      <c r="N176" s="67" t="s">
        <v>170</v>
      </c>
      <c r="O176" s="67" t="n">
        <v>4</v>
      </c>
      <c r="P176" s="67" t="s">
        <v>180</v>
      </c>
      <c r="Q176" s="71" t="n">
        <f aca="false">MONTH(C176)</f>
        <v>5</v>
      </c>
      <c r="R176" s="72" t="str">
        <f aca="false">IF(D176&lt;=14,"1–14",IF(D176&lt;=24,"15–24",IF(D176&lt;=44,"25–44",IF(D176&lt;=64,"45–64","65+"))))</f>
        <v>25–44</v>
      </c>
      <c r="S176" s="72" t="str">
        <f aca="false">IF(J176&lt;=30,"Up to 30",IF(J176&lt;=60,"31–60",IF(J176&lt;=90,"61–90","Over 90")))</f>
        <v>61–90</v>
      </c>
      <c r="T176" s="71" t="n">
        <f aca="false">IF(J176&gt;'Scenario Lab'!$C$5,1,0)</f>
        <v>1</v>
      </c>
      <c r="U176" s="71" t="n">
        <f aca="false">IF(M176="Yes",1,0)</f>
        <v>0</v>
      </c>
      <c r="V176" s="71" t="n">
        <f aca="false">IF(AND(M176="Yes",N176="Yes"),1,0)</f>
        <v>0</v>
      </c>
      <c r="W176" s="72" t="str">
        <f aca="false">IF(AND(G176="Maternal Health",E176="Male",D176&gt;=15),"Review","OK")</f>
        <v>OK</v>
      </c>
    </row>
    <row r="177" customFormat="false" ht="15" hidden="false" customHeight="false" outlineLevel="0" collapsed="false">
      <c r="A177" s="67" t="s">
        <v>520</v>
      </c>
      <c r="B177" s="67" t="s">
        <v>521</v>
      </c>
      <c r="C177" s="68" t="n">
        <v>46253</v>
      </c>
      <c r="D177" s="67" t="n">
        <v>56</v>
      </c>
      <c r="E177" s="67" t="s">
        <v>173</v>
      </c>
      <c r="F177" s="67" t="s">
        <v>63</v>
      </c>
      <c r="G177" s="67" t="s">
        <v>58</v>
      </c>
      <c r="H177" s="67" t="s">
        <v>58</v>
      </c>
      <c r="I177" s="67" t="s">
        <v>103</v>
      </c>
      <c r="J177" s="67" t="n">
        <v>67</v>
      </c>
      <c r="K177" s="69" t="n">
        <v>0</v>
      </c>
      <c r="L177" s="70" t="n">
        <v>79071</v>
      </c>
      <c r="M177" s="67" t="s">
        <v>169</v>
      </c>
      <c r="N177" s="67" t="s">
        <v>170</v>
      </c>
      <c r="O177" s="67" t="n">
        <v>4</v>
      </c>
      <c r="P177" s="67" t="s">
        <v>180</v>
      </c>
      <c r="Q177" s="71" t="n">
        <f aca="false">MONTH(C177)</f>
        <v>8</v>
      </c>
      <c r="R177" s="72" t="str">
        <f aca="false">IF(D177&lt;=14,"1–14",IF(D177&lt;=24,"15–24",IF(D177&lt;=44,"25–44",IF(D177&lt;=64,"45–64","65+"))))</f>
        <v>45–64</v>
      </c>
      <c r="S177" s="72" t="str">
        <f aca="false">IF(J177&lt;=30,"Up to 30",IF(J177&lt;=60,"31–60",IF(J177&lt;=90,"61–90","Over 90")))</f>
        <v>61–90</v>
      </c>
      <c r="T177" s="71" t="n">
        <f aca="false">IF(J177&gt;'Scenario Lab'!$C$5,1,0)</f>
        <v>1</v>
      </c>
      <c r="U177" s="71" t="n">
        <f aca="false">IF(M177="Yes",1,0)</f>
        <v>0</v>
      </c>
      <c r="V177" s="71" t="n">
        <f aca="false">IF(AND(M177="Yes",N177="Yes"),1,0)</f>
        <v>0</v>
      </c>
      <c r="W177" s="72" t="str">
        <f aca="false">IF(AND(G177="Maternal Health",E177="Male",D177&gt;=15),"Review","OK")</f>
        <v>OK</v>
      </c>
    </row>
    <row r="178" customFormat="false" ht="15" hidden="false" customHeight="false" outlineLevel="0" collapsed="false">
      <c r="A178" s="67" t="s">
        <v>522</v>
      </c>
      <c r="B178" s="67" t="s">
        <v>523</v>
      </c>
      <c r="C178" s="68" t="n">
        <v>46273</v>
      </c>
      <c r="D178" s="67" t="n">
        <v>24</v>
      </c>
      <c r="E178" s="67" t="s">
        <v>173</v>
      </c>
      <c r="F178" s="67" t="s">
        <v>59</v>
      </c>
      <c r="G178" s="67" t="s">
        <v>62</v>
      </c>
      <c r="H178" s="67" t="s">
        <v>58</v>
      </c>
      <c r="I178" s="67" t="s">
        <v>108</v>
      </c>
      <c r="J178" s="67" t="n">
        <v>71</v>
      </c>
      <c r="K178" s="69" t="n">
        <v>2.5</v>
      </c>
      <c r="L178" s="70" t="n">
        <v>99446</v>
      </c>
      <c r="M178" s="67" t="s">
        <v>165</v>
      </c>
      <c r="N178" s="67" t="s">
        <v>165</v>
      </c>
      <c r="O178" s="67" t="n">
        <v>4</v>
      </c>
      <c r="P178" s="67" t="s">
        <v>112</v>
      </c>
      <c r="Q178" s="71" t="n">
        <f aca="false">MONTH(C178)</f>
        <v>9</v>
      </c>
      <c r="R178" s="72" t="str">
        <f aca="false">IF(D178&lt;=14,"1–14",IF(D178&lt;=24,"15–24",IF(D178&lt;=44,"25–44",IF(D178&lt;=64,"45–64","65+"))))</f>
        <v>15–24</v>
      </c>
      <c r="S178" s="72" t="str">
        <f aca="false">IF(J178&lt;=30,"Up to 30",IF(J178&lt;=60,"31–60",IF(J178&lt;=90,"61–90","Over 90")))</f>
        <v>61–90</v>
      </c>
      <c r="T178" s="71" t="n">
        <f aca="false">IF(J178&gt;'Scenario Lab'!$C$5,1,0)</f>
        <v>1</v>
      </c>
      <c r="U178" s="71" t="n">
        <f aca="false">IF(M178="Yes",1,0)</f>
        <v>1</v>
      </c>
      <c r="V178" s="71" t="n">
        <f aca="false">IF(AND(M178="Yes",N178="Yes"),1,0)</f>
        <v>1</v>
      </c>
      <c r="W178" s="72" t="str">
        <f aca="false">IF(AND(G178="Maternal Health",E178="Male",D178&gt;=15),"Review","OK")</f>
        <v>Review</v>
      </c>
    </row>
    <row r="179" customFormat="false" ht="15" hidden="false" customHeight="false" outlineLevel="0" collapsed="false">
      <c r="A179" s="67" t="s">
        <v>524</v>
      </c>
      <c r="B179" s="67" t="s">
        <v>525</v>
      </c>
      <c r="C179" s="68" t="n">
        <v>46066</v>
      </c>
      <c r="D179" s="67" t="n">
        <v>80</v>
      </c>
      <c r="E179" s="67" t="s">
        <v>173</v>
      </c>
      <c r="F179" s="67" t="s">
        <v>67</v>
      </c>
      <c r="G179" s="67" t="s">
        <v>58</v>
      </c>
      <c r="H179" s="67" t="s">
        <v>58</v>
      </c>
      <c r="I179" s="67" t="s">
        <v>109</v>
      </c>
      <c r="J179" s="67" t="n">
        <v>55</v>
      </c>
      <c r="K179" s="69" t="n">
        <v>0.7</v>
      </c>
      <c r="L179" s="70" t="n">
        <v>119609</v>
      </c>
      <c r="M179" s="67" t="s">
        <v>169</v>
      </c>
      <c r="N179" s="67" t="s">
        <v>170</v>
      </c>
      <c r="O179" s="67" t="n">
        <v>5</v>
      </c>
      <c r="P179" s="67" t="s">
        <v>180</v>
      </c>
      <c r="Q179" s="71" t="n">
        <f aca="false">MONTH(C179)</f>
        <v>2</v>
      </c>
      <c r="R179" s="72" t="str">
        <f aca="false">IF(D179&lt;=14,"1–14",IF(D179&lt;=24,"15–24",IF(D179&lt;=44,"25–44",IF(D179&lt;=64,"45–64","65+"))))</f>
        <v>65+</v>
      </c>
      <c r="S179" s="72" t="str">
        <f aca="false">IF(J179&lt;=30,"Up to 30",IF(J179&lt;=60,"31–60",IF(J179&lt;=90,"61–90","Over 90")))</f>
        <v>31–60</v>
      </c>
      <c r="T179" s="71" t="n">
        <f aca="false">IF(J179&gt;'Scenario Lab'!$C$5,1,0)</f>
        <v>0</v>
      </c>
      <c r="U179" s="71" t="n">
        <f aca="false">IF(M179="Yes",1,0)</f>
        <v>0</v>
      </c>
      <c r="V179" s="71" t="n">
        <f aca="false">IF(AND(M179="Yes",N179="Yes"),1,0)</f>
        <v>0</v>
      </c>
      <c r="W179" s="72" t="str">
        <f aca="false">IF(AND(G179="Maternal Health",E179="Male",D179&gt;=15),"Review","OK")</f>
        <v>OK</v>
      </c>
    </row>
    <row r="180" customFormat="false" ht="15" hidden="false" customHeight="false" outlineLevel="0" collapsed="false">
      <c r="A180" s="67" t="s">
        <v>526</v>
      </c>
      <c r="B180" s="67" t="s">
        <v>527</v>
      </c>
      <c r="C180" s="68" t="n">
        <v>46111</v>
      </c>
      <c r="D180" s="67" t="n">
        <v>21</v>
      </c>
      <c r="E180" s="67" t="s">
        <v>164</v>
      </c>
      <c r="F180" s="67" t="s">
        <v>61</v>
      </c>
      <c r="G180" s="67" t="s">
        <v>62</v>
      </c>
      <c r="H180" s="67" t="s">
        <v>112</v>
      </c>
      <c r="I180" s="67" t="s">
        <v>108</v>
      </c>
      <c r="J180" s="67" t="n">
        <v>65</v>
      </c>
      <c r="K180" s="69" t="n">
        <v>0.9</v>
      </c>
      <c r="L180" s="70" t="n">
        <v>78444</v>
      </c>
      <c r="M180" s="67" t="s">
        <v>165</v>
      </c>
      <c r="N180" s="67" t="s">
        <v>165</v>
      </c>
      <c r="O180" s="67" t="n">
        <v>4</v>
      </c>
      <c r="P180" s="67" t="s">
        <v>112</v>
      </c>
      <c r="Q180" s="71" t="n">
        <f aca="false">MONTH(C180)</f>
        <v>3</v>
      </c>
      <c r="R180" s="72" t="str">
        <f aca="false">IF(D180&lt;=14,"1–14",IF(D180&lt;=24,"15–24",IF(D180&lt;=44,"25–44",IF(D180&lt;=64,"45–64","65+"))))</f>
        <v>15–24</v>
      </c>
      <c r="S180" s="72" t="str">
        <f aca="false">IF(J180&lt;=30,"Up to 30",IF(J180&lt;=60,"31–60",IF(J180&lt;=90,"61–90","Over 90")))</f>
        <v>61–90</v>
      </c>
      <c r="T180" s="71" t="n">
        <f aca="false">IF(J180&gt;'Scenario Lab'!$C$5,1,0)</f>
        <v>1</v>
      </c>
      <c r="U180" s="71" t="n">
        <f aca="false">IF(M180="Yes",1,0)</f>
        <v>1</v>
      </c>
      <c r="V180" s="71" t="n">
        <f aca="false">IF(AND(M180="Yes",N180="Yes"),1,0)</f>
        <v>1</v>
      </c>
      <c r="W180" s="72" t="str">
        <f aca="false">IF(AND(G180="Maternal Health",E180="Male",D180&gt;=15),"Review","OK")</f>
        <v>OK</v>
      </c>
    </row>
    <row r="181" customFormat="false" ht="15" hidden="false" customHeight="false" outlineLevel="0" collapsed="false">
      <c r="A181" s="67" t="s">
        <v>528</v>
      </c>
      <c r="B181" s="67" t="s">
        <v>529</v>
      </c>
      <c r="C181" s="68" t="n">
        <v>46276</v>
      </c>
      <c r="D181" s="67" t="n">
        <v>42</v>
      </c>
      <c r="E181" s="67" t="s">
        <v>173</v>
      </c>
      <c r="F181" s="67" t="s">
        <v>67</v>
      </c>
      <c r="G181" s="67" t="s">
        <v>58</v>
      </c>
      <c r="H181" s="67" t="s">
        <v>58</v>
      </c>
      <c r="I181" s="67" t="s">
        <v>109</v>
      </c>
      <c r="J181" s="67" t="n">
        <v>72</v>
      </c>
      <c r="K181" s="69" t="n">
        <v>0</v>
      </c>
      <c r="L181" s="70" t="n">
        <v>113798</v>
      </c>
      <c r="M181" s="67" t="s">
        <v>169</v>
      </c>
      <c r="N181" s="67" t="s">
        <v>170</v>
      </c>
      <c r="O181" s="67" t="n">
        <v>5</v>
      </c>
      <c r="P181" s="67" t="s">
        <v>166</v>
      </c>
      <c r="Q181" s="71" t="n">
        <f aca="false">MONTH(C181)</f>
        <v>9</v>
      </c>
      <c r="R181" s="72" t="str">
        <f aca="false">IF(D181&lt;=14,"1–14",IF(D181&lt;=24,"15–24",IF(D181&lt;=44,"25–44",IF(D181&lt;=64,"45–64","65+"))))</f>
        <v>25–44</v>
      </c>
      <c r="S181" s="72" t="str">
        <f aca="false">IF(J181&lt;=30,"Up to 30",IF(J181&lt;=60,"31–60",IF(J181&lt;=90,"61–90","Over 90")))</f>
        <v>61–90</v>
      </c>
      <c r="T181" s="71" t="n">
        <f aca="false">IF(J181&gt;'Scenario Lab'!$C$5,1,0)</f>
        <v>1</v>
      </c>
      <c r="U181" s="71" t="n">
        <f aca="false">IF(M181="Yes",1,0)</f>
        <v>0</v>
      </c>
      <c r="V181" s="71" t="n">
        <f aca="false">IF(AND(M181="Yes",N181="Yes"),1,0)</f>
        <v>0</v>
      </c>
      <c r="W181" s="72" t="str">
        <f aca="false">IF(AND(G181="Maternal Health",E181="Male",D181&gt;=15),"Review","OK")</f>
        <v>OK</v>
      </c>
    </row>
  </sheetData>
  <autoFilter ref="A1:W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50"/>
  </cols>
  <sheetData>
    <row r="2" customFormat="false" ht="39.75" hidden="false" customHeight="true" outlineLevel="0" collapsed="false">
      <c r="B2" s="18" t="s">
        <v>530</v>
      </c>
      <c r="C2" s="18"/>
      <c r="D2" s="18"/>
      <c r="E2" s="18"/>
      <c r="F2" s="18"/>
    </row>
    <row r="4" customFormat="false" ht="15" hidden="false" customHeight="false" outlineLevel="0" collapsed="false">
      <c r="B4" s="10" t="s">
        <v>531</v>
      </c>
      <c r="C4" s="10"/>
      <c r="D4" s="10"/>
      <c r="E4" s="10"/>
      <c r="F4" s="10"/>
    </row>
    <row r="5" customFormat="false" ht="15" hidden="false" customHeight="false" outlineLevel="0" collapsed="false">
      <c r="B5" s="29" t="s">
        <v>532</v>
      </c>
      <c r="C5" s="29" t="s">
        <v>533</v>
      </c>
      <c r="D5" s="29" t="s">
        <v>534</v>
      </c>
      <c r="E5" s="29" t="s">
        <v>75</v>
      </c>
      <c r="F5" s="29" t="s">
        <v>535</v>
      </c>
    </row>
    <row r="6" customFormat="false" ht="15" hidden="false" customHeight="false" outlineLevel="0" collapsed="false">
      <c r="B6" s="73" t="s">
        <v>536</v>
      </c>
      <c r="C6" s="56" t="n">
        <f aca="false">COUNTA('Patient Data'!$A$2:$A$181)</f>
        <v>180</v>
      </c>
      <c r="D6" s="74" t="n">
        <v>180</v>
      </c>
      <c r="E6" s="39" t="str">
        <f aca="false">IF(ABS(C6-D6)&lt;=0,"PASS","CHECK")</f>
        <v>PASS</v>
      </c>
      <c r="F6" s="75" t="s">
        <v>537</v>
      </c>
    </row>
    <row r="7" customFormat="false" ht="15" hidden="false" customHeight="false" outlineLevel="0" collapsed="false">
      <c r="B7" s="73" t="s">
        <v>538</v>
      </c>
      <c r="C7" s="56" t="n">
        <f aca="false">SUMPRODUCT(1/COUNTIF('Patient Data'!$A$2:$A$181,'Patient Data'!$A$2:$A$181))</f>
        <v>180</v>
      </c>
      <c r="D7" s="74" t="n">
        <v>180</v>
      </c>
      <c r="E7" s="39" t="str">
        <f aca="false">IF(ABS(C7-D7)&lt;=0.001,"PASS","CHECK")</f>
        <v>PASS</v>
      </c>
      <c r="F7" s="75" t="s">
        <v>537</v>
      </c>
    </row>
    <row r="8" customFormat="false" ht="15" hidden="false" customHeight="false" outlineLevel="0" collapsed="false">
      <c r="B8" s="73" t="s">
        <v>539</v>
      </c>
      <c r="C8" s="56" t="n">
        <f aca="false">SUMPRODUCT(1/COUNTIF('Patient Data'!$B$2:$B$181,'Patient Data'!$B$2:$B$181))</f>
        <v>180</v>
      </c>
      <c r="D8" s="74" t="n">
        <v>180</v>
      </c>
      <c r="E8" s="39" t="str">
        <f aca="false">IF(ABS(C8-D8)&lt;=0.001,"PASS","CHECK")</f>
        <v>PASS</v>
      </c>
      <c r="F8" s="75" t="s">
        <v>540</v>
      </c>
    </row>
    <row r="9" customFormat="false" ht="15" hidden="false" customHeight="false" outlineLevel="0" collapsed="false">
      <c r="B9" s="73" t="s">
        <v>541</v>
      </c>
      <c r="C9" s="59" t="n">
        <f aca="false">AVERAGE('Patient Data'!$J$2:$J$181)</f>
        <v>48.1166666666667</v>
      </c>
      <c r="D9" s="76" t="n">
        <v>48.1</v>
      </c>
      <c r="E9" s="39" t="str">
        <f aca="false">IF(ABS(C9-D9)&lt;=0.05,"PASS","CHECK")</f>
        <v>PASS</v>
      </c>
      <c r="F9" s="75" t="s">
        <v>542</v>
      </c>
    </row>
    <row r="10" customFormat="false" ht="15" hidden="false" customHeight="false" outlineLevel="0" collapsed="false">
      <c r="B10" s="73" t="s">
        <v>543</v>
      </c>
      <c r="C10" s="77" t="n">
        <f aca="false">AVERAGE('Patient Data'!$L$2:$L$181)</f>
        <v>88563.3222222222</v>
      </c>
      <c r="D10" s="78" t="n">
        <v>88563</v>
      </c>
      <c r="E10" s="39" t="str">
        <f aca="false">IF(ABS(C10-D10)&lt;=1,"PASS","CHECK")</f>
        <v>PASS</v>
      </c>
      <c r="F10" s="75" t="s">
        <v>544</v>
      </c>
    </row>
    <row r="11" customFormat="false" ht="15" hidden="false" customHeight="false" outlineLevel="0" collapsed="false">
      <c r="B11" s="73" t="s">
        <v>545</v>
      </c>
      <c r="C11" s="59" t="n">
        <f aca="false">AVERAGE('Patient Data'!$O$2:$O$181)</f>
        <v>4.33888888888889</v>
      </c>
      <c r="D11" s="76" t="n">
        <v>4.34</v>
      </c>
      <c r="E11" s="39" t="str">
        <f aca="false">IF(ABS(C11-D11)&lt;=0.005,"PASS","CHECK")</f>
        <v>PASS</v>
      </c>
      <c r="F11" s="75" t="s">
        <v>546</v>
      </c>
    </row>
    <row r="12" customFormat="false" ht="15" hidden="false" customHeight="false" outlineLevel="0" collapsed="false">
      <c r="B12" s="73" t="s">
        <v>547</v>
      </c>
      <c r="C12" s="57" t="n">
        <f aca="false">SUM('Patient Data'!$V$2:$V$181)/SUM('Patient Data'!$U$2:$U$181)</f>
        <v>0.75</v>
      </c>
      <c r="D12" s="79" t="n">
        <v>0.75</v>
      </c>
      <c r="E12" s="39" t="str">
        <f aca="false">IF(ABS(C12-D12)&lt;=0.0001,"PASS","CHECK")</f>
        <v>PASS</v>
      </c>
      <c r="F12" s="75" t="s">
        <v>548</v>
      </c>
    </row>
    <row r="13" customFormat="false" ht="15" hidden="false" customHeight="false" outlineLevel="0" collapsed="false">
      <c r="B13" s="73" t="s">
        <v>549</v>
      </c>
      <c r="C13" s="56" t="n">
        <f aca="false">COUNTIFS('Patient Data'!$H$2:$H$181,"Emergency")</f>
        <v>53</v>
      </c>
      <c r="D13" s="74" t="n">
        <v>53</v>
      </c>
      <c r="E13" s="39" t="str">
        <f aca="false">IF(ABS(C13-D13)&lt;=0,"PASS","CHECK")</f>
        <v>PASS</v>
      </c>
      <c r="F13" s="75" t="s">
        <v>548</v>
      </c>
    </row>
    <row r="14" customFormat="false" ht="15" hidden="false" customHeight="false" outlineLevel="0" collapsed="false">
      <c r="B14" s="73" t="s">
        <v>550</v>
      </c>
      <c r="C14" s="59" t="n">
        <f aca="false">AVERAGE('Patient Data'!$K$2:$K$181)</f>
        <v>1.50277777777778</v>
      </c>
      <c r="D14" s="76" t="n">
        <v>1.5</v>
      </c>
      <c r="E14" s="39" t="str">
        <f aca="false">IF(ABS(C14-D14)&lt;=0.05,"PASS","CHECK")</f>
        <v>PASS</v>
      </c>
      <c r="F14" s="75" t="s">
        <v>551</v>
      </c>
    </row>
    <row r="15" customFormat="false" ht="15" hidden="false" customHeight="false" outlineLevel="0" collapsed="false">
      <c r="B15" s="73" t="s">
        <v>552</v>
      </c>
      <c r="C15" s="56" t="n">
        <f aca="false">Insights!C13</f>
        <v>180</v>
      </c>
      <c r="D15" s="56" t="n">
        <f aca="false">COUNTA('Patient Data'!$A$2:$A$181)</f>
        <v>180</v>
      </c>
      <c r="E15" s="39" t="str">
        <f aca="false">IF(ABS(C15-D15)&lt;=0,"PASS","CHECK")</f>
        <v>PASS</v>
      </c>
      <c r="F15" s="75" t="s">
        <v>553</v>
      </c>
    </row>
    <row r="16" customFormat="false" ht="15" hidden="false" customHeight="false" outlineLevel="0" collapsed="false">
      <c r="B16" s="73" t="s">
        <v>554</v>
      </c>
      <c r="C16" s="56" t="n">
        <f aca="false">SUM(Insights!C57:C61)</f>
        <v>180</v>
      </c>
      <c r="D16" s="56" t="n">
        <f aca="false">COUNTA('Patient Data'!$A$2:$A$181)</f>
        <v>180</v>
      </c>
      <c r="E16" s="39" t="str">
        <f aca="false">IF(ABS(C16-D16)&lt;=0,"PASS","CHECK")</f>
        <v>PASS</v>
      </c>
      <c r="F16" s="75" t="s">
        <v>555</v>
      </c>
    </row>
    <row r="17" customFormat="false" ht="15" hidden="false" customHeight="false" outlineLevel="0" collapsed="false">
      <c r="B17" s="73" t="s">
        <v>556</v>
      </c>
      <c r="C17" s="56" t="n">
        <f aca="false">SUM(Insights!C65:C71)</f>
        <v>180</v>
      </c>
      <c r="D17" s="56" t="n">
        <f aca="false">COUNTA('Patient Data'!$A$2:$A$181)</f>
        <v>180</v>
      </c>
      <c r="E17" s="39" t="str">
        <f aca="false">IF(ABS(C17-D17)&lt;=0,"PASS","CHECK")</f>
        <v>PASS</v>
      </c>
      <c r="F17" s="75" t="s">
        <v>553</v>
      </c>
    </row>
    <row r="18" customFormat="false" ht="15" hidden="false" customHeight="false" outlineLevel="0" collapsed="false">
      <c r="B18" s="73" t="s">
        <v>557</v>
      </c>
      <c r="C18" s="56" t="n">
        <f aca="false">COUNTIFS('Patient Data'!$M$2:$M$181,"No",'Patient Data'!$N$2:$N$181,"&lt;&gt;N/A")</f>
        <v>0</v>
      </c>
      <c r="D18" s="74" t="n">
        <v>0</v>
      </c>
      <c r="E18" s="39" t="str">
        <f aca="false">IF(ABS(C18-D18)&lt;=0,"PASS","CHECK")</f>
        <v>PASS</v>
      </c>
      <c r="F18" s="75" t="s">
        <v>558</v>
      </c>
    </row>
    <row r="19" customFormat="false" ht="15" hidden="false" customHeight="false" outlineLevel="0" collapsed="false">
      <c r="B19" s="73" t="s">
        <v>559</v>
      </c>
      <c r="C19" s="56" t="n">
        <f aca="false">COUNTIFS('Patient Data'!$O$2:$O$181,"&gt;=1",'Patient Data'!$O$2:$O$181,"&lt;=5")</f>
        <v>180</v>
      </c>
      <c r="D19" s="74" t="n">
        <v>180</v>
      </c>
      <c r="E19" s="39" t="str">
        <f aca="false">IF(ABS(C19-D19)&lt;=0,"PASS","CHECK")</f>
        <v>PASS</v>
      </c>
      <c r="F19" s="75" t="s">
        <v>560</v>
      </c>
    </row>
    <row r="20" customFormat="false" ht="15" hidden="false" customHeight="false" outlineLevel="0" collapsed="false">
      <c r="B20" s="73" t="s">
        <v>561</v>
      </c>
      <c r="C20" s="56" t="n">
        <f aca="false">COUNTIFS('Patient Data'!$C$2:$C$181,"&gt;="&amp;DATE(2026,1,1),'Patient Data'!$C$2:$C$181,"&lt;="&amp;DATE(2026,9,30))</f>
        <v>180</v>
      </c>
      <c r="D20" s="74" t="n">
        <v>180</v>
      </c>
      <c r="E20" s="39" t="str">
        <f aca="false">IF(ABS(C20-D20)&lt;=0,"PASS","CHECK")</f>
        <v>PASS</v>
      </c>
      <c r="F20" s="75" t="s">
        <v>562</v>
      </c>
    </row>
    <row r="21" customFormat="false" ht="15" hidden="false" customHeight="false" outlineLevel="0" collapsed="false">
      <c r="B21" s="73" t="s">
        <v>563</v>
      </c>
      <c r="C21" s="56" t="n">
        <f aca="false">COUNTBLANK('Patient Data'!$A$2:$P$181)</f>
        <v>0</v>
      </c>
      <c r="D21" s="74" t="n">
        <v>0</v>
      </c>
      <c r="E21" s="39" t="str">
        <f aca="false">IF(ABS(C21-D21)&lt;=0,"PASS","CHECK")</f>
        <v>PASS</v>
      </c>
      <c r="F21" s="75" t="s">
        <v>564</v>
      </c>
    </row>
    <row r="22" customFormat="false" ht="15" hidden="false" customHeight="false" outlineLevel="0" collapsed="false">
      <c r="B22" s="73" t="s">
        <v>565</v>
      </c>
      <c r="C22" s="56" t="n">
        <f aca="false">COUNTIF('Patient Data'!$W$2:$W$181,"Review")</f>
        <v>14</v>
      </c>
      <c r="D22" s="74" t="n">
        <v>0</v>
      </c>
      <c r="E22" s="39" t="str">
        <f aca="false">IF(ABS(C22-D22)&lt;=0,"PASS","FLAG")</f>
        <v>FLAG</v>
      </c>
      <c r="F22" s="75" t="s">
        <v>566</v>
      </c>
    </row>
    <row r="23" customFormat="false" ht="15" hidden="false" customHeight="false" outlineLevel="0" collapsed="false">
      <c r="B23" s="40" t="s">
        <v>567</v>
      </c>
      <c r="C23" s="40"/>
      <c r="D23" s="40"/>
      <c r="E23" s="80" t="str">
        <f aca="false">IF(COUNTIF(E6:E22,"CHECK")=0,"NO ERRORS","REVIEW")</f>
        <v>NO ERRORS</v>
      </c>
    </row>
    <row r="25" customFormat="false" ht="15" hidden="false" customHeight="false" outlineLevel="0" collapsed="false">
      <c r="B25" s="10" t="s">
        <v>568</v>
      </c>
      <c r="C25" s="10"/>
      <c r="D25" s="10"/>
      <c r="E25" s="10"/>
      <c r="F25" s="10"/>
    </row>
    <row r="26" customFormat="false" ht="33" hidden="false" customHeight="true" outlineLevel="0" collapsed="false">
      <c r="B26" s="11" t="s">
        <v>569</v>
      </c>
      <c r="C26" s="11"/>
      <c r="D26" s="11"/>
      <c r="E26" s="11"/>
      <c r="F26" s="11"/>
    </row>
    <row r="27" customFormat="false" ht="18" hidden="false" customHeight="true" outlineLevel="0" collapsed="false">
      <c r="B27" s="11" t="s">
        <v>570</v>
      </c>
      <c r="C27" s="11"/>
      <c r="D27" s="11"/>
      <c r="E27" s="11"/>
      <c r="F27" s="11"/>
    </row>
    <row r="28" customFormat="false" ht="33" hidden="false" customHeight="true" outlineLevel="0" collapsed="false">
      <c r="B28" s="11" t="s">
        <v>571</v>
      </c>
      <c r="C28" s="11"/>
      <c r="D28" s="11"/>
      <c r="E28" s="11"/>
      <c r="F28" s="11"/>
    </row>
    <row r="29" customFormat="false" ht="33" hidden="false" customHeight="true" outlineLevel="0" collapsed="false">
      <c r="B29" s="11" t="s">
        <v>572</v>
      </c>
      <c r="C29" s="11"/>
      <c r="D29" s="11"/>
      <c r="E29" s="11"/>
      <c r="F29" s="11"/>
    </row>
    <row r="30" customFormat="false" ht="18" hidden="false" customHeight="true" outlineLevel="0" collapsed="false">
      <c r="B30" s="11" t="s">
        <v>573</v>
      </c>
      <c r="C30" s="11"/>
      <c r="D30" s="11"/>
      <c r="E30" s="11"/>
      <c r="F30" s="11"/>
    </row>
    <row r="32" customFormat="false" ht="15" hidden="false" customHeight="false" outlineLevel="0" collapsed="false">
      <c r="B32" s="10" t="s">
        <v>574</v>
      </c>
      <c r="C32" s="10"/>
      <c r="D32" s="10"/>
      <c r="E32" s="10"/>
      <c r="F32" s="10"/>
    </row>
    <row r="33" customFormat="false" ht="48" hidden="false" customHeight="true" outlineLevel="0" collapsed="false">
      <c r="B33" s="11" t="s">
        <v>575</v>
      </c>
      <c r="C33" s="11"/>
      <c r="D33" s="11"/>
      <c r="E33" s="11"/>
      <c r="F33" s="11"/>
    </row>
    <row r="35" customFormat="false" ht="15" hidden="false" customHeight="false" outlineLevel="0" collapsed="false">
      <c r="B35" s="10" t="s">
        <v>576</v>
      </c>
      <c r="C35" s="10"/>
      <c r="D35" s="10"/>
      <c r="E35" s="10"/>
      <c r="F35" s="10"/>
    </row>
    <row r="36" customFormat="false" ht="33" hidden="false" customHeight="true" outlineLevel="0" collapsed="false">
      <c r="B36" s="11" t="s">
        <v>577</v>
      </c>
      <c r="C36" s="11"/>
      <c r="D36" s="11"/>
      <c r="E36" s="11"/>
      <c r="F36" s="11"/>
    </row>
    <row r="37" customFormat="false" ht="33" hidden="false" customHeight="true" outlineLevel="0" collapsed="false">
      <c r="B37" s="11" t="s">
        <v>578</v>
      </c>
      <c r="C37" s="11"/>
      <c r="D37" s="11"/>
      <c r="E37" s="11"/>
      <c r="F37" s="11"/>
    </row>
    <row r="38" customFormat="false" ht="18" hidden="false" customHeight="true" outlineLevel="0" collapsed="false">
      <c r="B38" s="11" t="s">
        <v>579</v>
      </c>
      <c r="C38" s="11"/>
      <c r="D38" s="11"/>
      <c r="E38" s="11"/>
      <c r="F38" s="11"/>
    </row>
    <row r="39" customFormat="false" ht="33" hidden="false" customHeight="true" outlineLevel="0" collapsed="false">
      <c r="B39" s="11" t="s">
        <v>580</v>
      </c>
      <c r="C39" s="11"/>
      <c r="D39" s="11"/>
      <c r="E39" s="11"/>
      <c r="F39" s="11"/>
    </row>
    <row r="40" customFormat="false" ht="33" hidden="false" customHeight="true" outlineLevel="0" collapsed="false">
      <c r="B40" s="11" t="s">
        <v>581</v>
      </c>
      <c r="C40" s="11"/>
      <c r="D40" s="11"/>
      <c r="E40" s="11"/>
      <c r="F40" s="11"/>
    </row>
  </sheetData>
  <mergeCells count="17">
    <mergeCell ref="B2:F2"/>
    <mergeCell ref="B4:F4"/>
    <mergeCell ref="B23:D23"/>
    <mergeCell ref="B25:F25"/>
    <mergeCell ref="B26:F26"/>
    <mergeCell ref="B27:F27"/>
    <mergeCell ref="B28:F28"/>
    <mergeCell ref="B29:F29"/>
    <mergeCell ref="B30:F30"/>
    <mergeCell ref="B32:F32"/>
    <mergeCell ref="B33:F33"/>
    <mergeCell ref="B35:F35"/>
    <mergeCell ref="B36:F36"/>
    <mergeCell ref="B37:F37"/>
    <mergeCell ref="B38:F38"/>
    <mergeCell ref="B39:F39"/>
    <mergeCell ref="B40:F40"/>
  </mergeCells>
  <conditionalFormatting sqref="E6:E2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"CHECK"</formula>
    </cfRule>
    <cfRule type="cellIs" priority="4" operator="equal" aboveAverage="0" equalAverage="0" bottom="0" percent="0" rank="0" text="" dxfId="1">
      <formula>"FLAG"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2026-10-10T05:10:26Z</dcterms:created>
  <dc:creator>openpyxl</dc:creator>
  <dc:description/>
  <dc:language>en-US</dc:language>
  <cp:lastModifiedBy/>
  <dcterms:modified xsi:type="dcterms:W3CDTF">2026-10-10T05:10:30Z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