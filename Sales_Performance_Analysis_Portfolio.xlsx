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Insights" sheetId="3" state="visible" r:id="rId3"/>
    <sheet xmlns:r="http://schemas.openxmlformats.org/officeDocument/2006/relationships" name="Sales Data" sheetId="4" state="visible" r:id="rId4"/>
    <sheet xmlns:r="http://schemas.openxmlformats.org/officeDocument/2006/relationships" name="Data Checks" sheetId="5" state="visible" r:id="rId5"/>
    <sheet xmlns:r="http://schemas.openxmlformats.org/officeDocument/2006/relationships" name="Read Me" sheetId="6" state="visible" r:id="rId6"/>
    <sheet xmlns:r="http://schemas.openxmlformats.org/officeDocument/2006/relationships" name="Chart Data" sheetId="7" state="visible" r:id="rId7"/>
    <sheet xmlns:r="http://schemas.openxmlformats.org/officeDocument/2006/relationships" name="Lists" sheetId="8" state="visible" r:id="rId8"/>
  </sheets>
  <definedNames>
    <definedName name="d_Order">'Sales Data'!$A$2:$A$121</definedName>
    <definedName name="d_Date">'Sales Data'!$B$2:$B$121</definedName>
    <definedName name="d_Region">'Sales Data'!$C$2:$C$121</definedName>
    <definedName name="d_Product">'Sales Data'!$D$2:$D$121</definedName>
    <definedName name="d_Category">'Sales Data'!$E$2:$E$121</definedName>
    <definedName name="d_Qty">'Sales Data'!$F$2:$F$121</definedName>
    <definedName name="d_Price">'Sales Data'!$G$2:$G$121</definedName>
    <definedName name="d_Rev">'Sales Data'!$H$2:$H$121</definedName>
    <definedName name="d_Cost">'Sales Data'!$I$2:$I$121</definedName>
    <definedName name="d_Profit">'Sales Data'!$J$2:$J$121</definedName>
    <definedName name="d_Month">'Sales Data'!$K$2:$K$121</definedName>
    <definedName name="d_MonthNo">'Sales Data'!$N$2:$N$121</definedName>
    <definedName name="crit_R">Lists!$F$2</definedName>
    <definedName name="crit_P">Lists!$F$3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-mmm-yyyy"/>
    <numFmt numFmtId="166" formatCode="₦#,##0"/>
    <numFmt numFmtId="167" formatCode="0.0%"/>
    <numFmt numFmtId="168" formatCode="0.0"/>
    <numFmt numFmtId="169" formatCode="+0.0%;-0.0%;0.0%"/>
    <numFmt numFmtId="170" formatCode="dd-mmm-yy"/>
    <numFmt numFmtId="171" formatCode="₦#,##0.0,,&quot;M&quot;"/>
    <numFmt numFmtId="172" formatCode="₦#,##0,&quot;K&quot;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733"/>
      <sz val="10"/>
    </font>
    <font>
      <name val="Arial"/>
      <i val="1"/>
      <color rgb="006B7785"/>
      <sz val="9"/>
    </font>
    <font>
      <name val="Arial"/>
      <b val="1"/>
      <color rgb="0012284C"/>
      <sz val="11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2284C"/>
      <sz val="10"/>
    </font>
    <font>
      <name val="Arial"/>
      <b val="1"/>
      <color rgb="001B2733"/>
      <sz val="10"/>
    </font>
    <font>
      <name val="Arial"/>
      <b val="1"/>
      <color rgb="000000FF"/>
      <sz val="10"/>
    </font>
    <font>
      <name val="Arial"/>
      <b val="1"/>
      <color rgb="000F9D9A"/>
      <sz val="10"/>
    </font>
    <font>
      <name val="Arial"/>
      <color rgb="006B7785"/>
      <sz val="10"/>
    </font>
    <font>
      <name val="Arial"/>
      <b val="1"/>
      <color rgb="00FFFFFF"/>
      <sz val="22"/>
    </font>
    <font>
      <name val="Arial"/>
      <color rgb="00FFFFFF"/>
      <sz val="10"/>
    </font>
    <font>
      <name val="Arial"/>
      <b val="1"/>
      <color rgb="000000FF"/>
      <sz val="11"/>
    </font>
    <font>
      <name val="Arial"/>
      <b val="1"/>
      <color rgb="006B7785"/>
      <sz val="8"/>
    </font>
    <font>
      <name val="Arial"/>
      <b val="1"/>
      <color rgb="0012284C"/>
      <sz val="20"/>
    </font>
    <font>
      <name val="Arial"/>
      <color rgb="000F9D9A"/>
      <sz val="8"/>
    </font>
    <font>
      <name val="Arial"/>
      <i val="1"/>
      <color rgb="006B7785"/>
      <sz val="8"/>
    </font>
    <font>
      <name val="Arial"/>
      <color rgb="000000FF"/>
      <sz val="10"/>
    </font>
    <font>
      <name val="Arial"/>
      <b val="1"/>
      <color rgb="0012284C"/>
      <sz val="12"/>
    </font>
  </fonts>
  <fills count="9">
    <fill>
      <patternFill/>
    </fill>
    <fill>
      <patternFill patternType="gray125"/>
    </fill>
    <fill>
      <patternFill patternType="solid">
        <fgColor rgb="0012284C"/>
      </patternFill>
    </fill>
    <fill>
      <patternFill patternType="solid">
        <fgColor rgb="000F9D9A"/>
      </patternFill>
    </fill>
    <fill>
      <patternFill patternType="solid">
        <fgColor rgb="00DCE6F2"/>
      </patternFill>
    </fill>
    <fill>
      <patternFill patternType="solid">
        <fgColor rgb="00F3F6FA"/>
      </patternFill>
    </fill>
    <fill>
      <patternFill patternType="solid">
        <fgColor rgb="00FFF4CC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bottom style="medium">
        <color rgb="0012284C"/>
      </bottom>
    </border>
    <border>
      <bottom style="thin">
        <color rgb="00D5DCE6"/>
      </bottom>
    </border>
    <border>
      <top style="medium">
        <color rgb="0012284C"/>
      </top>
      <bottom style="thin">
        <color rgb="00D5DCE6"/>
      </bottom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left style="thin">
        <color rgb="00D5DCE6"/>
      </left>
      <top style="thick">
        <color rgb="000F9D9A"/>
      </top>
    </border>
    <border>
      <right style="thin">
        <color rgb="00D5DCE6"/>
      </right>
      <top style="thick">
        <color rgb="000F9D9A"/>
      </top>
    </border>
    <border>
      <left style="thin">
        <color rgb="00D5DCE6"/>
      </left>
    </border>
    <border>
      <right style="thin">
        <color rgb="00D5DCE6"/>
      </right>
    </border>
    <border>
      <left style="thin">
        <color rgb="00D5DCE6"/>
      </left>
      <bottom style="thin">
        <color rgb="00D5DCE6"/>
      </bottom>
    </border>
    <border>
      <right style="thin">
        <color rgb="00D5DCE6"/>
      </right>
      <bottom style="thin">
        <color rgb="00D5DCE6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7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right" vertical="center"/>
    </xf>
    <xf numFmtId="0" fontId="14" fillId="6" borderId="4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15" fillId="8" borderId="5" applyAlignment="1" pivotButton="0" quotePrefix="0" xfId="0">
      <alignment horizontal="center" vertical="center"/>
    </xf>
    <xf numFmtId="0" fontId="15" fillId="8" borderId="6" applyAlignment="1" pivotButton="0" quotePrefix="0" xfId="0">
      <alignment horizontal="center" vertical="center"/>
    </xf>
    <xf numFmtId="171" fontId="16" fillId="8" borderId="7" applyAlignment="1" pivotButton="0" quotePrefix="0" xfId="0">
      <alignment horizontal="center" vertical="center"/>
    </xf>
    <xf numFmtId="0" fontId="16" fillId="8" borderId="8" applyAlignment="1" pivotButton="0" quotePrefix="0" xfId="0">
      <alignment horizontal="center" vertical="center"/>
    </xf>
    <xf numFmtId="167" fontId="16" fillId="8" borderId="7" applyAlignment="1" pivotButton="0" quotePrefix="0" xfId="0">
      <alignment horizontal="center" vertical="center"/>
    </xf>
    <xf numFmtId="3" fontId="16" fillId="8" borderId="7" applyAlignment="1" pivotButton="0" quotePrefix="0" xfId="0">
      <alignment horizontal="center" vertical="center"/>
    </xf>
    <xf numFmtId="172" fontId="16" fillId="8" borderId="7" applyAlignment="1" pivotButton="0" quotePrefix="0" xfId="0">
      <alignment horizontal="center" vertical="center"/>
    </xf>
    <xf numFmtId="0" fontId="17" fillId="8" borderId="9" applyAlignment="1" pivotButton="0" quotePrefix="0" xfId="0">
      <alignment horizontal="center" vertical="center"/>
    </xf>
    <xf numFmtId="0" fontId="17" fillId="8" borderId="1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2" fillId="8" borderId="2" applyAlignment="1" pivotButton="0" quotePrefix="0" xfId="0">
      <alignment horizontal="left" vertical="center" wrapText="1" indent="1"/>
    </xf>
    <xf numFmtId="0" fontId="18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 wrapText="1"/>
    </xf>
    <xf numFmtId="0" fontId="8" fillId="0" borderId="2" pivotButton="0" quotePrefix="0" xfId="0"/>
    <xf numFmtId="0" fontId="2" fillId="0" borderId="2" pivotButton="0" quotePrefix="0" xfId="0"/>
    <xf numFmtId="166" fontId="2" fillId="0" borderId="2" pivotButton="0" quotePrefix="0" xfId="0"/>
    <xf numFmtId="167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7" fillId="5" borderId="3" pivotButton="0" quotePrefix="0" xfId="0"/>
    <xf numFmtId="166" fontId="7" fillId="5" borderId="3" pivotButton="0" quotePrefix="0" xfId="0"/>
    <xf numFmtId="167" fontId="7" fillId="5" borderId="3" applyAlignment="1" pivotButton="0" quotePrefix="0" xfId="0">
      <alignment horizontal="center" vertical="center"/>
    </xf>
    <xf numFmtId="3" fontId="7" fillId="5" borderId="3" applyAlignment="1" pivotButton="0" quotePrefix="0" xfId="0">
      <alignment horizontal="center" vertical="center"/>
    </xf>
    <xf numFmtId="17" fontId="9" fillId="0" borderId="2" applyAlignment="1" pivotButton="0" quotePrefix="0" xfId="0">
      <alignment horizontal="left" vertical="center"/>
    </xf>
    <xf numFmtId="169" fontId="2" fillId="0" borderId="2" applyAlignment="1" pivotButton="0" quotePrefix="0" xfId="0">
      <alignment horizontal="center" vertical="center"/>
    </xf>
    <xf numFmtId="166" fontId="8" fillId="0" borderId="2" pivotButton="0" quotePrefix="0" xfId="0"/>
    <xf numFmtId="167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70" fontId="2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9" fillId="6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167" fontId="9" fillId="6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indent="1"/>
    </xf>
    <xf numFmtId="166" fontId="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indent="1"/>
    </xf>
    <xf numFmtId="166" fontId="7" fillId="0" borderId="2" applyAlignment="1" pivotButton="0" quotePrefix="0" xfId="0">
      <alignment horizontal="center" vertical="center"/>
    </xf>
    <xf numFmtId="169" fontId="7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 indent="1"/>
    </xf>
    <xf numFmtId="0" fontId="11" fillId="0" borderId="2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pivotButton="0" quotePrefix="0" xfId="0"/>
    <xf numFmtId="167" fontId="2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3" fontId="19" fillId="0" borderId="2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 indent="1"/>
    </xf>
    <xf numFmtId="0" fontId="2" fillId="0" borderId="2" applyAlignment="1" pivotButton="0" quotePrefix="0" xfId="0">
      <alignment horizontal="left" vertical="top" wrapText="1"/>
    </xf>
    <xf numFmtId="168" fontId="2" fillId="0" borderId="0" pivotButton="0" quotePrefix="0" xfId="0"/>
    <xf numFmtId="167" fontId="2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C0392B"/>
        <sz val="10"/>
      </font>
    </dxf>
    <dxf>
      <font>
        <name val="Arial"/>
        <b val="1"/>
        <color rgb="001E8449"/>
        <sz val="10"/>
      </font>
    </dxf>
    <dxf>
      <font>
        <name val="Arial"/>
        <b val="1"/>
        <color rgb="001E6B3A"/>
      </font>
      <fill>
        <patternFill patternType="solid">
          <fgColor rgb="00D4EDDA"/>
        </patternFill>
      </fill>
    </dxf>
    <dxf>
      <font>
        <name val="Arial"/>
        <b val="1"/>
        <color rgb="00A12622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2284C"/>
                </a:solidFill>
                <a:latin typeface="Arial"/>
              </a:defRPr>
            </a:pPr>
            <a:r>
              <a:rPr sz="1200" b="1">
                <a:solidFill>
                  <a:srgbClr val="12284C"/>
                </a:solidFill>
                <a:latin typeface="Arial"/>
              </a:rPr>
              <a:t>Revenue &amp; Profit by Product (₦M)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Data'!B3</f>
            </strRef>
          </tx>
          <spPr>
            <a:solidFill xmlns:a="http://schemas.openxmlformats.org/drawingml/2006/main">
              <a:srgbClr val="0F9D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Data'!$A$4:$A$8</f>
            </numRef>
          </cat>
          <val>
            <numRef>
              <f>'Chart Data'!$B$4:$B$8</f>
            </numRef>
          </val>
        </ser>
        <ser>
          <idx val="1"/>
          <order val="1"/>
          <tx>
            <strRef>
              <f>'Chart Data'!C3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>
              <a:noFill/>
              <a:prstDash val="solid"/>
            </a:ln>
          </spPr>
          <cat>
            <numRef>
              <f>'Chart Data'!$A$4:$A$8</f>
            </numRef>
          </cat>
          <val>
            <numRef>
              <f>'Chart Data'!$C$4:$C$8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6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785"/>
              </a:solidFill>
              <a:latin typeface="Arial"/>
            </a:defRPr>
          </a:pPr>
          <a:r>
            <a:t/>
          </a:r>
          <a:endParaRPr sz="900" b="0">
            <a:solidFill>
              <a:srgbClr val="6B7785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5DCE6"/>
      </a:solidFill>
      <a:prstDash val="solid"/>
    </a:ln>
  </spPr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2284C"/>
                </a:solidFill>
                <a:latin typeface="Arial"/>
              </a:defRPr>
            </a:pPr>
            <a:r>
              <a:rPr sz="1200" b="1">
                <a:solidFill>
                  <a:srgbClr val="12284C"/>
                </a:solidFill>
                <a:latin typeface="Arial"/>
              </a:rPr>
              <a:t>Monthly Revenue &amp; Profit Trend (₦M)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Data'!B19</f>
            </strRef>
          </tx>
          <spPr>
            <a:ln xmlns:a="http://schemas.openxmlformats.org/drawingml/2006/main" w="28000">
              <a:solidFill>
                <a:srgbClr val="0F9D9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F9D9A"/>
              </a:solidFill>
              <a:ln xmlns:a="http://schemas.openxmlformats.org/drawingml/2006/main">
                <a:solidFill>
                  <a:srgbClr val="0F9D9A"/>
                </a:solidFill>
                <a:prstDash val="solid"/>
              </a:ln>
            </spPr>
          </marker>
          <cat>
            <numRef>
              <f>'Chart Data'!$A$20:$A$28</f>
            </numRef>
          </cat>
          <val>
            <numRef>
              <f>'Chart Data'!$B$20:$B$28</f>
            </numRef>
          </val>
          <smooth val="0"/>
        </ser>
        <ser>
          <idx val="1"/>
          <order val="1"/>
          <tx>
            <strRef>
              <f>'Chart Data'!C19</f>
            </strRef>
          </tx>
          <spPr>
            <a:ln xmlns:a="http://schemas.openxmlformats.org/drawingml/2006/main" w="28000">
              <a:solidFill>
                <a:srgbClr val="F5A62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solidFill>
                  <a:srgbClr val="F5A623"/>
                </a:solidFill>
                <a:prstDash val="solid"/>
              </a:ln>
            </spPr>
          </marker>
          <cat>
            <numRef>
              <f>'Chart Data'!$A$20:$A$28</f>
            </numRef>
          </cat>
          <val>
            <numRef>
              <f>'Chart Data'!$C$20:$C$28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6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785"/>
              </a:solidFill>
              <a:latin typeface="Arial"/>
            </a:defRPr>
          </a:pPr>
          <a:r>
            <a:t/>
          </a:r>
          <a:endParaRPr sz="900" b="0">
            <a:solidFill>
              <a:srgbClr val="6B7785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5DCE6"/>
      </a:solidFill>
      <a:prstDash val="solid"/>
    </a:ln>
  </spPr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2284C"/>
                </a:solidFill>
                <a:latin typeface="Arial"/>
              </a:defRPr>
            </a:pPr>
            <a:r>
              <a:rPr sz="1200" b="1">
                <a:solidFill>
                  <a:srgbClr val="12284C"/>
                </a:solidFill>
                <a:latin typeface="Arial"/>
              </a:rPr>
              <a:t>Revenue by Region (₦M)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Data'!B11</f>
            </strRef>
          </tx>
          <spPr>
            <a:solidFill xmlns:a="http://schemas.openxmlformats.org/drawingml/2006/main">
              <a:srgbClr val="12284C"/>
            </a:solidFill>
            <a:ln xmlns:a="http://schemas.openxmlformats.org/drawingml/2006/main">
              <a:noFill/>
              <a:prstDash val="solid"/>
            </a:ln>
          </spPr>
          <cat>
            <numRef>
              <f>'Chart Data'!$A$12:$A$16</f>
            </numRef>
          </cat>
          <val>
            <numRef>
              <f>'Chart Data'!$B$12:$B$16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1B2733"/>
                  </a:solidFill>
                  <a:latin typeface="Arial"/>
                </a:defRPr>
              </a:pPr>
              <a:r>
                <a:t/>
              </a:r>
              <a:endParaRPr sz="900" b="1">
                <a:solidFill>
                  <a:srgbClr val="1B2733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6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5DCE6"/>
      </a:solidFill>
      <a:prstDash val="solid"/>
    </a:ln>
  </spPr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2284C"/>
                </a:solidFill>
                <a:latin typeface="Arial"/>
              </a:defRPr>
            </a:pPr>
            <a:r>
              <a:rPr sz="1200" b="1">
                <a:solidFill>
                  <a:srgbClr val="12284C"/>
                </a:solidFill>
                <a:latin typeface="Arial"/>
              </a:rPr>
              <a:t>Profit Margin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Data'!D3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>
              <a:noFill/>
              <a:prstDash val="solid"/>
            </a:ln>
          </spPr>
          <cat>
            <numRef>
              <f>'Chart Data'!$A$4:$A$8</f>
            </numRef>
          </cat>
          <val>
            <numRef>
              <f>'Chart Data'!$D$4:$D$8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1B2733"/>
                  </a:solidFill>
                  <a:latin typeface="Arial"/>
                </a:defRPr>
              </a:pPr>
              <a:r>
                <a:t/>
              </a:r>
              <a:endParaRPr sz="900" b="1">
                <a:solidFill>
                  <a:srgbClr val="1B2733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5DCE6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D5DCE6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47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547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5472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26</row>
      <rowOff>0</rowOff>
    </from>
    <ext cx="5472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N121" headerRowCount="1">
  <autoFilter ref="A1:N121"/>
  <tableColumns count="14">
    <tableColumn id="1" name="Order ID"/>
    <tableColumn id="2" name="Date"/>
    <tableColumn id="3" name="Region"/>
    <tableColumn id="4" name="Product"/>
    <tableColumn id="5" name="Category"/>
    <tableColumn id="6" name="Quantity"/>
    <tableColumn id="7" name="Unit Price"/>
    <tableColumn id="8" name="Revenue"/>
    <tableColumn id="9" name="Cost"/>
    <tableColumn id="10" name="Profit"/>
    <tableColumn id="11" name="Month"/>
    <tableColumn id="12" name="Margin %"/>
    <tableColumn id="13" name="Quarter"/>
    <tableColumn id="14" name="Month N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2284C"/>
    <outlinePr summaryBelow="1" summaryRight="1"/>
    <pageSetUpPr fitToPage="1"/>
  </sheetPr>
  <dimension ref="A1:N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" customWidth="1" min="14" max="14"/>
  </cols>
  <sheetData>
    <row r="1" ht="22" customHeight="1">
      <c r="A1" s="1" t="n"/>
      <c r="B1" s="2" t="inlineStr">
        <is>
          <t>SALES PERFORMANCE DASHBOARD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1" t="n"/>
    </row>
    <row r="2" ht="22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" t="n"/>
    </row>
    <row r="3" ht="20" customHeight="1">
      <c r="A3" s="1" t="n"/>
      <c r="B3" s="3">
        <f>TEXT(MIN(d_Date),"mmm yyyy")&amp;" – "&amp;TEXT(MAX(d_Date),"mmm yyyy")&amp;"   |   Showing: "&amp;C5&amp;" · "&amp;G5&amp;"   |   "&amp;TEXT(COUNTIFS(d_Region,crit_R,d_Product,crit_P),"0")&amp;" orders   |   Currency: Nigerian Naira (₦)"</f>
        <v/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26" customHeight="1">
      <c r="A5" s="1" t="n"/>
      <c r="B5" s="4" t="inlineStr">
        <is>
          <t>REGION ▸</t>
        </is>
      </c>
      <c r="C5" s="5" t="inlineStr">
        <is>
          <t>All Regions</t>
        </is>
      </c>
      <c r="D5" s="5" t="n"/>
      <c r="E5" s="1" t="n"/>
      <c r="F5" s="4" t="inlineStr">
        <is>
          <t>PRODUCT ▸</t>
        </is>
      </c>
      <c r="G5" s="5" t="inlineStr">
        <is>
          <t>All Products</t>
        </is>
      </c>
      <c r="H5" s="5" t="n"/>
      <c r="I5" s="1" t="n"/>
      <c r="J5" s="6" t="inlineStr">
        <is>
          <t>Tap the yellow cells to filter every KPI and chart</t>
        </is>
      </c>
      <c r="K5" s="6" t="n"/>
      <c r="L5" s="6" t="n"/>
      <c r="M5" s="6" t="n"/>
      <c r="N5" s="1" t="n"/>
    </row>
    <row r="6" ht="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20" customHeight="1">
      <c r="A7" s="1" t="n"/>
      <c r="B7" s="7" t="inlineStr">
        <is>
          <t>TOTAL REVENUE</t>
        </is>
      </c>
      <c r="C7" s="8" t="n"/>
      <c r="D7" s="7" t="inlineStr">
        <is>
          <t>TOTAL PROFIT</t>
        </is>
      </c>
      <c r="E7" s="8" t="n"/>
      <c r="F7" s="7" t="inlineStr">
        <is>
          <t>PROFIT MARGIN</t>
        </is>
      </c>
      <c r="G7" s="8" t="n"/>
      <c r="H7" s="7" t="inlineStr">
        <is>
          <t>ORDERS</t>
        </is>
      </c>
      <c r="I7" s="8" t="n"/>
      <c r="J7" s="7" t="inlineStr">
        <is>
          <t>UNITS SOLD</t>
        </is>
      </c>
      <c r="K7" s="8" t="n"/>
      <c r="L7" s="7" t="inlineStr">
        <is>
          <t>AVG ORDER VALUE</t>
        </is>
      </c>
      <c r="M7" s="8" t="n"/>
      <c r="N7" s="1" t="n"/>
    </row>
    <row r="8" ht="36" customHeight="1">
      <c r="A8" s="1" t="n"/>
      <c r="B8" s="9">
        <f>SUMIFS(d_Rev,d_Region,crit_R,d_Product,crit_P)</f>
        <v/>
      </c>
      <c r="C8" s="10" t="n"/>
      <c r="D8" s="9">
        <f>SUMIFS(d_Profit,d_Region,crit_R,d_Product,crit_P)</f>
        <v/>
      </c>
      <c r="E8" s="10" t="n"/>
      <c r="F8" s="11">
        <f>IFERROR(D8/B8,0)</f>
        <v/>
      </c>
      <c r="G8" s="10" t="n"/>
      <c r="H8" s="12">
        <f>COUNTIFS(d_Region,crit_R,d_Product,crit_P)</f>
        <v/>
      </c>
      <c r="I8" s="10" t="n"/>
      <c r="J8" s="12">
        <f>SUMIFS(d_Qty,d_Region,crit_R,d_Product,crit_P)</f>
        <v/>
      </c>
      <c r="K8" s="10" t="n"/>
      <c r="L8" s="13">
        <f>IFERROR(B8/H8,0)</f>
        <v/>
      </c>
      <c r="M8" s="10" t="n"/>
      <c r="N8" s="1" t="n"/>
    </row>
    <row r="9" ht="20" customHeight="1">
      <c r="A9" s="1" t="n"/>
      <c r="B9" s="14">
        <f>TEXT(IFERROR(B8/SUM(d_Rev),0),"0.0%")&amp;" of company revenue"</f>
        <v/>
      </c>
      <c r="C9" s="15" t="n"/>
      <c r="D9" s="14">
        <f>TEXT(IFERROR(D8/SUM(d_Profit),0),"0.0%")&amp;" of company profit"</f>
        <v/>
      </c>
      <c r="E9" s="15" t="n"/>
      <c r="F9" s="14">
        <f>"Company average "&amp;TEXT(SUM(d_Profit)/SUM(d_Rev),"0.0%")</f>
        <v/>
      </c>
      <c r="G9" s="15" t="n"/>
      <c r="H9" s="14">
        <f>TEXT(IFERROR(H8/COUNTA(d_Order),0),"0.0%")&amp;" of all orders"</f>
        <v/>
      </c>
      <c r="I9" s="15" t="n"/>
      <c r="J9" s="14">
        <f>TEXT(IFERROR(J8/H8,0),"0.0")&amp;" units per order"</f>
        <v/>
      </c>
      <c r="K9" s="15" t="n"/>
      <c r="L9" s="14">
        <f>"Company avg ₦"&amp;TEXT(SUM(d_Rev)/COUNTA(d_Order)/1000,"#,##0")&amp;"K"</f>
        <v/>
      </c>
      <c r="M9" s="15" t="n"/>
      <c r="N9" s="1" t="n"/>
    </row>
    <row r="10" ht="10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22" customHeight="1">
      <c r="A43" s="1" t="n"/>
      <c r="B43" s="16" t="inlineStr">
        <is>
          <t>KEY TAKEAWAYS   (company-wide, auto-generated on the Insights sheet)</t>
        </is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" t="n"/>
    </row>
    <row r="44" ht="32" customHeight="1">
      <c r="A44" s="1" t="n"/>
      <c r="B44" s="17">
        <f>Insights!C5</f>
        <v/>
      </c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" t="n"/>
    </row>
    <row r="45" ht="32" customHeight="1">
      <c r="A45" s="1" t="n"/>
      <c r="B45" s="17">
        <f>Insights!C6</f>
        <v/>
      </c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" t="n"/>
    </row>
    <row r="46" ht="32" customHeight="1">
      <c r="A46" s="1" t="n"/>
      <c r="B46" s="17">
        <f>Insights!C7</f>
        <v/>
      </c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" t="n"/>
    </row>
    <row r="47" ht="32" customHeight="1">
      <c r="A47" s="1" t="n"/>
      <c r="B47" s="17">
        <f>Insights!C8</f>
        <v/>
      </c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" t="n"/>
    </row>
    <row r="48" ht="32" customHeight="1">
      <c r="A48" s="1" t="n"/>
      <c r="B48" s="17">
        <f>Insights!C9</f>
        <v/>
      </c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8" t="inlineStr">
        <is>
          <t>Prepared by Williams Favour Ifunanya  |  Portfolio project: Excel data analysis  |  Sample dataset for demonstration</t>
        </is>
      </c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</sheetData>
  <mergeCells count="30">
    <mergeCell ref="B48:M48"/>
    <mergeCell ref="L7:M7"/>
    <mergeCell ref="B7:C7"/>
    <mergeCell ref="C5:D5"/>
    <mergeCell ref="B44:M44"/>
    <mergeCell ref="H9:I9"/>
    <mergeCell ref="F7:G7"/>
    <mergeCell ref="J9:K9"/>
    <mergeCell ref="L8:M8"/>
    <mergeCell ref="B8:C8"/>
    <mergeCell ref="J5:M5"/>
    <mergeCell ref="F8:G8"/>
    <mergeCell ref="D7:E7"/>
    <mergeCell ref="H7:I7"/>
    <mergeCell ref="B45:M45"/>
    <mergeCell ref="J7:K7"/>
    <mergeCell ref="G5:H5"/>
    <mergeCell ref="B50:M50"/>
    <mergeCell ref="B9:C9"/>
    <mergeCell ref="D9:E9"/>
    <mergeCell ref="F9:G9"/>
    <mergeCell ref="L9:M9"/>
    <mergeCell ref="D8:E8"/>
    <mergeCell ref="B47:M47"/>
    <mergeCell ref="B3:M3"/>
    <mergeCell ref="B1:M2"/>
    <mergeCell ref="B46:M46"/>
    <mergeCell ref="H8:I8"/>
    <mergeCell ref="J8:K8"/>
    <mergeCell ref="B43:M43"/>
  </mergeCells>
  <dataValidations count="2">
    <dataValidation sqref="C5" showDropDown="0" showInputMessage="0" showErrorMessage="0" allowBlank="0" type="list">
      <formula1>=Lists!$A$2:$A$7</formula1>
    </dataValidation>
    <dataValidation sqref="G5" showDropDown="0" showInputMessage="0" showErrorMessage="0" allowBlank="0" type="list">
      <formula1>=Lists!$C$2:$C$7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9D9A"/>
    <outlinePr summaryBelow="1" summaryRight="1"/>
    <pageSetUpPr fitToPage="1"/>
  </sheetPr>
  <dimension ref="B1:K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9" customWidth="1" min="2" max="2"/>
    <col width="16" customWidth="1" min="3" max="3"/>
    <col width="16" customWidth="1" min="4" max="4"/>
    <col width="16" customWidth="1" min="5" max="5"/>
    <col width="13" customWidth="1" min="6" max="6"/>
    <col width="12" customWidth="1" min="7" max="7"/>
    <col width="12" customWidth="1" min="8" max="8"/>
    <col width="14" customWidth="1" min="9" max="9"/>
    <col width="16" customWidth="1" min="10" max="10"/>
    <col width="13" customWidth="1" min="11" max="11"/>
  </cols>
  <sheetData>
    <row r="1" ht="20" customHeight="1">
      <c r="B1" s="19" t="inlineStr">
        <is>
          <t>DEEP-DIVE ANALYSIS  |  Company-wide (unfiltered)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</row>
    <row r="2" ht="20" customHeight="1"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</row>
    <row r="4" ht="22" customHeight="1">
      <c r="B4" s="20" t="inlineStr">
        <is>
          <t>1 · PRODUCT PERFORMANCE   (sorted by revenue)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 ht="30" customHeight="1">
      <c r="B5" s="21" t="inlineStr">
        <is>
          <t>Product</t>
        </is>
      </c>
      <c r="C5" s="21" t="inlineStr">
        <is>
          <t>Category</t>
        </is>
      </c>
      <c r="D5" s="21" t="inlineStr">
        <is>
          <t>Revenue</t>
        </is>
      </c>
      <c r="E5" s="21" t="inlineStr">
        <is>
          <t>Profit</t>
        </is>
      </c>
      <c r="F5" s="21" t="inlineStr">
        <is>
          <t>Margin %</t>
        </is>
      </c>
      <c r="G5" s="21" t="inlineStr">
        <is>
          <t>Units</t>
        </is>
      </c>
      <c r="H5" s="21" t="inlineStr">
        <is>
          <t>Orders</t>
        </is>
      </c>
      <c r="I5" s="21" t="inlineStr">
        <is>
          <t>Revenue Share</t>
        </is>
      </c>
      <c r="J5" s="21" t="inlineStr">
        <is>
          <t>Cumulative Share</t>
        </is>
      </c>
      <c r="K5" s="21" t="inlineStr">
        <is>
          <t>Revenue Rank</t>
        </is>
      </c>
    </row>
    <row r="6">
      <c r="B6" s="22" t="inlineStr">
        <is>
          <t>Laptop</t>
        </is>
      </c>
      <c r="C6" s="23">
        <f>INDEX(d_Category,MATCH(B6,d_Product,0))</f>
        <v/>
      </c>
      <c r="D6" s="24">
        <f>SUMIFS(d_Rev,d_Product,B6)</f>
        <v/>
      </c>
      <c r="E6" s="24">
        <f>SUMIFS(d_Profit,d_Product,B6)</f>
        <v/>
      </c>
      <c r="F6" s="25">
        <f>IFERROR(E6/D6,0)</f>
        <v/>
      </c>
      <c r="G6" s="26">
        <f>SUMIFS(d_Qty,d_Product,B6)</f>
        <v/>
      </c>
      <c r="H6" s="26">
        <f>COUNTIFS(d_Product,B6)</f>
        <v/>
      </c>
      <c r="I6" s="25">
        <f>D6/$D$11</f>
        <v/>
      </c>
      <c r="J6" s="25">
        <f>SUM($D$6:D6)/$D$11</f>
        <v/>
      </c>
      <c r="K6" s="27">
        <f>RANK(D6,$D$6:$D$10)</f>
        <v/>
      </c>
    </row>
    <row r="7">
      <c r="B7" s="22" t="inlineStr">
        <is>
          <t>Tablet</t>
        </is>
      </c>
      <c r="C7" s="23">
        <f>INDEX(d_Category,MATCH(B7,d_Product,0))</f>
        <v/>
      </c>
      <c r="D7" s="24">
        <f>SUMIFS(d_Rev,d_Product,B7)</f>
        <v/>
      </c>
      <c r="E7" s="24">
        <f>SUMIFS(d_Profit,d_Product,B7)</f>
        <v/>
      </c>
      <c r="F7" s="25">
        <f>IFERROR(E7/D7,0)</f>
        <v/>
      </c>
      <c r="G7" s="26">
        <f>SUMIFS(d_Qty,d_Product,B7)</f>
        <v/>
      </c>
      <c r="H7" s="26">
        <f>COUNTIFS(d_Product,B7)</f>
        <v/>
      </c>
      <c r="I7" s="25">
        <f>D7/$D$11</f>
        <v/>
      </c>
      <c r="J7" s="25">
        <f>SUM($D$6:D7)/$D$11</f>
        <v/>
      </c>
      <c r="K7" s="27">
        <f>RANK(D7,$D$6:$D$10)</f>
        <v/>
      </c>
    </row>
    <row r="8">
      <c r="B8" s="22" t="inlineStr">
        <is>
          <t>Phone</t>
        </is>
      </c>
      <c r="C8" s="23">
        <f>INDEX(d_Category,MATCH(B8,d_Product,0))</f>
        <v/>
      </c>
      <c r="D8" s="24">
        <f>SUMIFS(d_Rev,d_Product,B8)</f>
        <v/>
      </c>
      <c r="E8" s="24">
        <f>SUMIFS(d_Profit,d_Product,B8)</f>
        <v/>
      </c>
      <c r="F8" s="25">
        <f>IFERROR(E8/D8,0)</f>
        <v/>
      </c>
      <c r="G8" s="26">
        <f>SUMIFS(d_Qty,d_Product,B8)</f>
        <v/>
      </c>
      <c r="H8" s="26">
        <f>COUNTIFS(d_Product,B8)</f>
        <v/>
      </c>
      <c r="I8" s="25">
        <f>D8/$D$11</f>
        <v/>
      </c>
      <c r="J8" s="25">
        <f>SUM($D$6:D8)/$D$11</f>
        <v/>
      </c>
      <c r="K8" s="27">
        <f>RANK(D8,$D$6:$D$10)</f>
        <v/>
      </c>
    </row>
    <row r="9">
      <c r="B9" s="22" t="inlineStr">
        <is>
          <t>Smartwatch</t>
        </is>
      </c>
      <c r="C9" s="23">
        <f>INDEX(d_Category,MATCH(B9,d_Product,0))</f>
        <v/>
      </c>
      <c r="D9" s="24">
        <f>SUMIFS(d_Rev,d_Product,B9)</f>
        <v/>
      </c>
      <c r="E9" s="24">
        <f>SUMIFS(d_Profit,d_Product,B9)</f>
        <v/>
      </c>
      <c r="F9" s="25">
        <f>IFERROR(E9/D9,0)</f>
        <v/>
      </c>
      <c r="G9" s="26">
        <f>SUMIFS(d_Qty,d_Product,B9)</f>
        <v/>
      </c>
      <c r="H9" s="26">
        <f>COUNTIFS(d_Product,B9)</f>
        <v/>
      </c>
      <c r="I9" s="25">
        <f>D9/$D$11</f>
        <v/>
      </c>
      <c r="J9" s="25">
        <f>SUM($D$6:D9)/$D$11</f>
        <v/>
      </c>
      <c r="K9" s="27">
        <f>RANK(D9,$D$6:$D$10)</f>
        <v/>
      </c>
    </row>
    <row r="10">
      <c r="B10" s="22" t="inlineStr">
        <is>
          <t>Headphones</t>
        </is>
      </c>
      <c r="C10" s="23">
        <f>INDEX(d_Category,MATCH(B10,d_Product,0))</f>
        <v/>
      </c>
      <c r="D10" s="24">
        <f>SUMIFS(d_Rev,d_Product,B10)</f>
        <v/>
      </c>
      <c r="E10" s="24">
        <f>SUMIFS(d_Profit,d_Product,B10)</f>
        <v/>
      </c>
      <c r="F10" s="25">
        <f>IFERROR(E10/D10,0)</f>
        <v/>
      </c>
      <c r="G10" s="26">
        <f>SUMIFS(d_Qty,d_Product,B10)</f>
        <v/>
      </c>
      <c r="H10" s="26">
        <f>COUNTIFS(d_Product,B10)</f>
        <v/>
      </c>
      <c r="I10" s="25">
        <f>D10/$D$11</f>
        <v/>
      </c>
      <c r="J10" s="25">
        <f>SUM($D$6:D10)/$D$11</f>
        <v/>
      </c>
      <c r="K10" s="27">
        <f>RANK(D10,$D$6:$D$10)</f>
        <v/>
      </c>
    </row>
    <row r="11">
      <c r="B11" s="28" t="inlineStr">
        <is>
          <t>Total</t>
        </is>
      </c>
      <c r="C11" s="28" t="n"/>
      <c r="D11" s="29">
        <f>SUM(D6:D10)</f>
        <v/>
      </c>
      <c r="E11" s="29">
        <f>SUM(E6:E10)</f>
        <v/>
      </c>
      <c r="F11" s="30">
        <f>IFERROR(E11/D11,0)</f>
        <v/>
      </c>
      <c r="G11" s="31">
        <f>SUM(G6:G10)</f>
        <v/>
      </c>
      <c r="H11" s="31">
        <f>SUM(H6:H10)</f>
        <v/>
      </c>
      <c r="I11" s="30">
        <f>SUM(I6:I10)</f>
        <v/>
      </c>
      <c r="J11" s="28" t="n"/>
      <c r="K11" s="28" t="n"/>
    </row>
    <row r="13" ht="22" customHeight="1">
      <c r="B13" s="20" t="inlineStr">
        <is>
          <t>2 · REGION PERFORMANCE   (sorted by revenue)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</row>
    <row r="14" ht="30" customHeight="1">
      <c r="B14" s="21" t="inlineStr">
        <is>
          <t>Region</t>
        </is>
      </c>
      <c r="C14" s="21" t="inlineStr">
        <is>
          <t>Top Product</t>
        </is>
      </c>
      <c r="D14" s="21" t="inlineStr">
        <is>
          <t>Revenue</t>
        </is>
      </c>
      <c r="E14" s="21" t="inlineStr">
        <is>
          <t>Profit</t>
        </is>
      </c>
      <c r="F14" s="21" t="inlineStr">
        <is>
          <t>Margin %</t>
        </is>
      </c>
      <c r="G14" s="21" t="inlineStr">
        <is>
          <t>Units</t>
        </is>
      </c>
      <c r="H14" s="21" t="inlineStr">
        <is>
          <t>Orders</t>
        </is>
      </c>
      <c r="I14" s="21" t="inlineStr">
        <is>
          <t>Revenue Share</t>
        </is>
      </c>
      <c r="J14" s="21" t="inlineStr">
        <is>
          <t>Avg Order Value</t>
        </is>
      </c>
      <c r="K14" s="21" t="inlineStr">
        <is>
          <t>Revenue Rank</t>
        </is>
      </c>
    </row>
    <row r="15">
      <c r="B15" s="22" t="inlineStr">
        <is>
          <t>Abuja</t>
        </is>
      </c>
      <c r="C15" s="23">
        <f>INDEX($C$36:$G$36,MATCH(MAX(C37:G37),C37:G37,0))</f>
        <v/>
      </c>
      <c r="D15" s="24">
        <f>SUMIFS(d_Rev,d_Region,B15)</f>
        <v/>
      </c>
      <c r="E15" s="24">
        <f>SUMIFS(d_Profit,d_Region,B15)</f>
        <v/>
      </c>
      <c r="F15" s="25">
        <f>IFERROR(E15/D15,0)</f>
        <v/>
      </c>
      <c r="G15" s="26">
        <f>SUMIFS(d_Qty,d_Region,B15)</f>
        <v/>
      </c>
      <c r="H15" s="26">
        <f>COUNTIFS(d_Region,B15)</f>
        <v/>
      </c>
      <c r="I15" s="25">
        <f>D15/$D$20</f>
        <v/>
      </c>
      <c r="J15" s="24">
        <f>IFERROR(D15/H15,0)</f>
        <v/>
      </c>
      <c r="K15" s="27">
        <f>RANK(D15,$D$15:$D$19)</f>
        <v/>
      </c>
    </row>
    <row r="16">
      <c r="B16" s="22" t="inlineStr">
        <is>
          <t>Lagos</t>
        </is>
      </c>
      <c r="C16" s="23">
        <f>INDEX($C$36:$G$36,MATCH(MAX(C38:G38),C38:G38,0))</f>
        <v/>
      </c>
      <c r="D16" s="24">
        <f>SUMIFS(d_Rev,d_Region,B16)</f>
        <v/>
      </c>
      <c r="E16" s="24">
        <f>SUMIFS(d_Profit,d_Region,B16)</f>
        <v/>
      </c>
      <c r="F16" s="25">
        <f>IFERROR(E16/D16,0)</f>
        <v/>
      </c>
      <c r="G16" s="26">
        <f>SUMIFS(d_Qty,d_Region,B16)</f>
        <v/>
      </c>
      <c r="H16" s="26">
        <f>COUNTIFS(d_Region,B16)</f>
        <v/>
      </c>
      <c r="I16" s="25">
        <f>D16/$D$20</f>
        <v/>
      </c>
      <c r="J16" s="24">
        <f>IFERROR(D16/H16,0)</f>
        <v/>
      </c>
      <c r="K16" s="27">
        <f>RANK(D16,$D$15:$D$19)</f>
        <v/>
      </c>
    </row>
    <row r="17">
      <c r="B17" s="22" t="inlineStr">
        <is>
          <t>Ibadan</t>
        </is>
      </c>
      <c r="C17" s="23">
        <f>INDEX($C$36:$G$36,MATCH(MAX(C39:G39),C39:G39,0))</f>
        <v/>
      </c>
      <c r="D17" s="24">
        <f>SUMIFS(d_Rev,d_Region,B17)</f>
        <v/>
      </c>
      <c r="E17" s="24">
        <f>SUMIFS(d_Profit,d_Region,B17)</f>
        <v/>
      </c>
      <c r="F17" s="25">
        <f>IFERROR(E17/D17,0)</f>
        <v/>
      </c>
      <c r="G17" s="26">
        <f>SUMIFS(d_Qty,d_Region,B17)</f>
        <v/>
      </c>
      <c r="H17" s="26">
        <f>COUNTIFS(d_Region,B17)</f>
        <v/>
      </c>
      <c r="I17" s="25">
        <f>D17/$D$20</f>
        <v/>
      </c>
      <c r="J17" s="24">
        <f>IFERROR(D17/H17,0)</f>
        <v/>
      </c>
      <c r="K17" s="27">
        <f>RANK(D17,$D$15:$D$19)</f>
        <v/>
      </c>
    </row>
    <row r="18">
      <c r="B18" s="22" t="inlineStr">
        <is>
          <t>Kano</t>
        </is>
      </c>
      <c r="C18" s="23">
        <f>INDEX($C$36:$G$36,MATCH(MAX(C40:G40),C40:G40,0))</f>
        <v/>
      </c>
      <c r="D18" s="24">
        <f>SUMIFS(d_Rev,d_Region,B18)</f>
        <v/>
      </c>
      <c r="E18" s="24">
        <f>SUMIFS(d_Profit,d_Region,B18)</f>
        <v/>
      </c>
      <c r="F18" s="25">
        <f>IFERROR(E18/D18,0)</f>
        <v/>
      </c>
      <c r="G18" s="26">
        <f>SUMIFS(d_Qty,d_Region,B18)</f>
        <v/>
      </c>
      <c r="H18" s="26">
        <f>COUNTIFS(d_Region,B18)</f>
        <v/>
      </c>
      <c r="I18" s="25">
        <f>D18/$D$20</f>
        <v/>
      </c>
      <c r="J18" s="24">
        <f>IFERROR(D18/H18,0)</f>
        <v/>
      </c>
      <c r="K18" s="27">
        <f>RANK(D18,$D$15:$D$19)</f>
        <v/>
      </c>
    </row>
    <row r="19">
      <c r="B19" s="22" t="inlineStr">
        <is>
          <t>Port Harcourt</t>
        </is>
      </c>
      <c r="C19" s="23">
        <f>INDEX($C$36:$G$36,MATCH(MAX(C41:G41),C41:G41,0))</f>
        <v/>
      </c>
      <c r="D19" s="24">
        <f>SUMIFS(d_Rev,d_Region,B19)</f>
        <v/>
      </c>
      <c r="E19" s="24">
        <f>SUMIFS(d_Profit,d_Region,B19)</f>
        <v/>
      </c>
      <c r="F19" s="25">
        <f>IFERROR(E19/D19,0)</f>
        <v/>
      </c>
      <c r="G19" s="26">
        <f>SUMIFS(d_Qty,d_Region,B19)</f>
        <v/>
      </c>
      <c r="H19" s="26">
        <f>COUNTIFS(d_Region,B19)</f>
        <v/>
      </c>
      <c r="I19" s="25">
        <f>D19/$D$20</f>
        <v/>
      </c>
      <c r="J19" s="24">
        <f>IFERROR(D19/H19,0)</f>
        <v/>
      </c>
      <c r="K19" s="27">
        <f>RANK(D19,$D$15:$D$19)</f>
        <v/>
      </c>
    </row>
    <row r="20">
      <c r="B20" s="28" t="inlineStr">
        <is>
          <t>Total</t>
        </is>
      </c>
      <c r="C20" s="28" t="n"/>
      <c r="D20" s="29">
        <f>SUM(D15:D19)</f>
        <v/>
      </c>
      <c r="E20" s="29">
        <f>SUM(E15:E19)</f>
        <v/>
      </c>
      <c r="F20" s="30">
        <f>IFERROR(E20/D20,0)</f>
        <v/>
      </c>
      <c r="G20" s="31">
        <f>SUM(G15:G19)</f>
        <v/>
      </c>
      <c r="H20" s="31">
        <f>SUM(H15:H19)</f>
        <v/>
      </c>
      <c r="I20" s="30">
        <f>SUM(I15:I19)</f>
        <v/>
      </c>
      <c r="J20" s="29">
        <f>IFERROR(D20/H20,0)</f>
        <v/>
      </c>
      <c r="K20" s="28" t="n"/>
    </row>
    <row r="22" ht="22" customHeight="1">
      <c r="B22" s="20" t="inlineStr">
        <is>
          <t>3 · MONTHLY TREND</t>
        </is>
      </c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</row>
    <row r="23" ht="30" customHeight="1">
      <c r="B23" s="21" t="inlineStr">
        <is>
          <t>Month</t>
        </is>
      </c>
      <c r="C23" s="21" t="inlineStr">
        <is>
          <t>Month No</t>
        </is>
      </c>
      <c r="D23" s="21" t="inlineStr">
        <is>
          <t>Revenue</t>
        </is>
      </c>
      <c r="E23" s="21" t="inlineStr">
        <is>
          <t>Profit</t>
        </is>
      </c>
      <c r="F23" s="21" t="inlineStr">
        <is>
          <t>Margin %</t>
        </is>
      </c>
      <c r="G23" s="21" t="inlineStr">
        <is>
          <t>Units</t>
        </is>
      </c>
      <c r="H23" s="21" t="inlineStr">
        <is>
          <t>Orders</t>
        </is>
      </c>
      <c r="I23" s="21" t="inlineStr">
        <is>
          <t>MoM Revenue Δ</t>
        </is>
      </c>
      <c r="J23" s="21" t="inlineStr">
        <is>
          <t>Cumulative Revenue</t>
        </is>
      </c>
      <c r="K23" s="21" t="inlineStr">
        <is>
          <t>vs Monthly Avg</t>
        </is>
      </c>
    </row>
    <row r="24">
      <c r="B24" s="32" t="n">
        <v>46023</v>
      </c>
      <c r="C24" s="27">
        <f>MONTH(B24)</f>
        <v/>
      </c>
      <c r="D24" s="24">
        <f>SUMIFS(d_Rev,d_MonthNo,C24)</f>
        <v/>
      </c>
      <c r="E24" s="24">
        <f>SUMIFS(d_Profit,d_MonthNo,C24)</f>
        <v/>
      </c>
      <c r="F24" s="25">
        <f>IFERROR(E24/D24,0)</f>
        <v/>
      </c>
      <c r="G24" s="26">
        <f>SUMIFS(d_Qty,d_MonthNo,C24)</f>
        <v/>
      </c>
      <c r="H24" s="26">
        <f>COUNTIFS(d_MonthNo,C24)</f>
        <v/>
      </c>
      <c r="I24" s="27" t="inlineStr">
        <is>
          <t>—</t>
        </is>
      </c>
      <c r="J24" s="24">
        <f>SUM($D$24:D24)</f>
        <v/>
      </c>
      <c r="K24" s="33">
        <f>IFERROR(D24/AVERAGE($D$24:$D$32)-1,0)</f>
        <v/>
      </c>
    </row>
    <row r="25">
      <c r="B25" s="32" t="n">
        <v>46054</v>
      </c>
      <c r="C25" s="27">
        <f>MONTH(B25)</f>
        <v/>
      </c>
      <c r="D25" s="24">
        <f>SUMIFS(d_Rev,d_MonthNo,C25)</f>
        <v/>
      </c>
      <c r="E25" s="24">
        <f>SUMIFS(d_Profit,d_MonthNo,C25)</f>
        <v/>
      </c>
      <c r="F25" s="25">
        <f>IFERROR(E25/D25,0)</f>
        <v/>
      </c>
      <c r="G25" s="26">
        <f>SUMIFS(d_Qty,d_MonthNo,C25)</f>
        <v/>
      </c>
      <c r="H25" s="26">
        <f>COUNTIFS(d_MonthNo,C25)</f>
        <v/>
      </c>
      <c r="I25" s="33">
        <f>IFERROR(D25/D24-1,0)</f>
        <v/>
      </c>
      <c r="J25" s="24">
        <f>SUM($D$24:D25)</f>
        <v/>
      </c>
      <c r="K25" s="33">
        <f>IFERROR(D25/AVERAGE($D$24:$D$32)-1,0)</f>
        <v/>
      </c>
    </row>
    <row r="26">
      <c r="B26" s="32" t="n">
        <v>46082</v>
      </c>
      <c r="C26" s="27">
        <f>MONTH(B26)</f>
        <v/>
      </c>
      <c r="D26" s="24">
        <f>SUMIFS(d_Rev,d_MonthNo,C26)</f>
        <v/>
      </c>
      <c r="E26" s="24">
        <f>SUMIFS(d_Profit,d_MonthNo,C26)</f>
        <v/>
      </c>
      <c r="F26" s="25">
        <f>IFERROR(E26/D26,0)</f>
        <v/>
      </c>
      <c r="G26" s="26">
        <f>SUMIFS(d_Qty,d_MonthNo,C26)</f>
        <v/>
      </c>
      <c r="H26" s="26">
        <f>COUNTIFS(d_MonthNo,C26)</f>
        <v/>
      </c>
      <c r="I26" s="33">
        <f>IFERROR(D26/D25-1,0)</f>
        <v/>
      </c>
      <c r="J26" s="24">
        <f>SUM($D$24:D26)</f>
        <v/>
      </c>
      <c r="K26" s="33">
        <f>IFERROR(D26/AVERAGE($D$24:$D$32)-1,0)</f>
        <v/>
      </c>
    </row>
    <row r="27">
      <c r="B27" s="32" t="n">
        <v>46113</v>
      </c>
      <c r="C27" s="27">
        <f>MONTH(B27)</f>
        <v/>
      </c>
      <c r="D27" s="24">
        <f>SUMIFS(d_Rev,d_MonthNo,C27)</f>
        <v/>
      </c>
      <c r="E27" s="24">
        <f>SUMIFS(d_Profit,d_MonthNo,C27)</f>
        <v/>
      </c>
      <c r="F27" s="25">
        <f>IFERROR(E27/D27,0)</f>
        <v/>
      </c>
      <c r="G27" s="26">
        <f>SUMIFS(d_Qty,d_MonthNo,C27)</f>
        <v/>
      </c>
      <c r="H27" s="26">
        <f>COUNTIFS(d_MonthNo,C27)</f>
        <v/>
      </c>
      <c r="I27" s="33">
        <f>IFERROR(D27/D26-1,0)</f>
        <v/>
      </c>
      <c r="J27" s="24">
        <f>SUM($D$24:D27)</f>
        <v/>
      </c>
      <c r="K27" s="33">
        <f>IFERROR(D27/AVERAGE($D$24:$D$32)-1,0)</f>
        <v/>
      </c>
    </row>
    <row r="28">
      <c r="B28" s="32" t="n">
        <v>46143</v>
      </c>
      <c r="C28" s="27">
        <f>MONTH(B28)</f>
        <v/>
      </c>
      <c r="D28" s="24">
        <f>SUMIFS(d_Rev,d_MonthNo,C28)</f>
        <v/>
      </c>
      <c r="E28" s="24">
        <f>SUMIFS(d_Profit,d_MonthNo,C28)</f>
        <v/>
      </c>
      <c r="F28" s="25">
        <f>IFERROR(E28/D28,0)</f>
        <v/>
      </c>
      <c r="G28" s="26">
        <f>SUMIFS(d_Qty,d_MonthNo,C28)</f>
        <v/>
      </c>
      <c r="H28" s="26">
        <f>COUNTIFS(d_MonthNo,C28)</f>
        <v/>
      </c>
      <c r="I28" s="33">
        <f>IFERROR(D28/D27-1,0)</f>
        <v/>
      </c>
      <c r="J28" s="24">
        <f>SUM($D$24:D28)</f>
        <v/>
      </c>
      <c r="K28" s="33">
        <f>IFERROR(D28/AVERAGE($D$24:$D$32)-1,0)</f>
        <v/>
      </c>
    </row>
    <row r="29">
      <c r="B29" s="32" t="n">
        <v>46174</v>
      </c>
      <c r="C29" s="27">
        <f>MONTH(B29)</f>
        <v/>
      </c>
      <c r="D29" s="24">
        <f>SUMIFS(d_Rev,d_MonthNo,C29)</f>
        <v/>
      </c>
      <c r="E29" s="24">
        <f>SUMIFS(d_Profit,d_MonthNo,C29)</f>
        <v/>
      </c>
      <c r="F29" s="25">
        <f>IFERROR(E29/D29,0)</f>
        <v/>
      </c>
      <c r="G29" s="26">
        <f>SUMIFS(d_Qty,d_MonthNo,C29)</f>
        <v/>
      </c>
      <c r="H29" s="26">
        <f>COUNTIFS(d_MonthNo,C29)</f>
        <v/>
      </c>
      <c r="I29" s="33">
        <f>IFERROR(D29/D28-1,0)</f>
        <v/>
      </c>
      <c r="J29" s="24">
        <f>SUM($D$24:D29)</f>
        <v/>
      </c>
      <c r="K29" s="33">
        <f>IFERROR(D29/AVERAGE($D$24:$D$32)-1,0)</f>
        <v/>
      </c>
    </row>
    <row r="30">
      <c r="B30" s="32" t="n">
        <v>46204</v>
      </c>
      <c r="C30" s="27">
        <f>MONTH(B30)</f>
        <v/>
      </c>
      <c r="D30" s="24">
        <f>SUMIFS(d_Rev,d_MonthNo,C30)</f>
        <v/>
      </c>
      <c r="E30" s="24">
        <f>SUMIFS(d_Profit,d_MonthNo,C30)</f>
        <v/>
      </c>
      <c r="F30" s="25">
        <f>IFERROR(E30/D30,0)</f>
        <v/>
      </c>
      <c r="G30" s="26">
        <f>SUMIFS(d_Qty,d_MonthNo,C30)</f>
        <v/>
      </c>
      <c r="H30" s="26">
        <f>COUNTIFS(d_MonthNo,C30)</f>
        <v/>
      </c>
      <c r="I30" s="33">
        <f>IFERROR(D30/D29-1,0)</f>
        <v/>
      </c>
      <c r="J30" s="24">
        <f>SUM($D$24:D30)</f>
        <v/>
      </c>
      <c r="K30" s="33">
        <f>IFERROR(D30/AVERAGE($D$24:$D$32)-1,0)</f>
        <v/>
      </c>
    </row>
    <row r="31">
      <c r="B31" s="32" t="n">
        <v>46235</v>
      </c>
      <c r="C31" s="27">
        <f>MONTH(B31)</f>
        <v/>
      </c>
      <c r="D31" s="24">
        <f>SUMIFS(d_Rev,d_MonthNo,C31)</f>
        <v/>
      </c>
      <c r="E31" s="24">
        <f>SUMIFS(d_Profit,d_MonthNo,C31)</f>
        <v/>
      </c>
      <c r="F31" s="25">
        <f>IFERROR(E31/D31,0)</f>
        <v/>
      </c>
      <c r="G31" s="26">
        <f>SUMIFS(d_Qty,d_MonthNo,C31)</f>
        <v/>
      </c>
      <c r="H31" s="26">
        <f>COUNTIFS(d_MonthNo,C31)</f>
        <v/>
      </c>
      <c r="I31" s="33">
        <f>IFERROR(D31/D30-1,0)</f>
        <v/>
      </c>
      <c r="J31" s="24">
        <f>SUM($D$24:D31)</f>
        <v/>
      </c>
      <c r="K31" s="33">
        <f>IFERROR(D31/AVERAGE($D$24:$D$32)-1,0)</f>
        <v/>
      </c>
    </row>
    <row r="32">
      <c r="B32" s="32" t="n">
        <v>46266</v>
      </c>
      <c r="C32" s="27">
        <f>MONTH(B32)</f>
        <v/>
      </c>
      <c r="D32" s="24">
        <f>SUMIFS(d_Rev,d_MonthNo,C32)</f>
        <v/>
      </c>
      <c r="E32" s="24">
        <f>SUMIFS(d_Profit,d_MonthNo,C32)</f>
        <v/>
      </c>
      <c r="F32" s="25">
        <f>IFERROR(E32/D32,0)</f>
        <v/>
      </c>
      <c r="G32" s="26">
        <f>SUMIFS(d_Qty,d_MonthNo,C32)</f>
        <v/>
      </c>
      <c r="H32" s="26">
        <f>COUNTIFS(d_MonthNo,C32)</f>
        <v/>
      </c>
      <c r="I32" s="33">
        <f>IFERROR(D32/D31-1,0)</f>
        <v/>
      </c>
      <c r="J32" s="24">
        <f>SUM($D$24:D32)</f>
        <v/>
      </c>
      <c r="K32" s="33">
        <f>IFERROR(D32/AVERAGE($D$24:$D$32)-1,0)</f>
        <v/>
      </c>
    </row>
    <row r="33">
      <c r="B33" s="28" t="inlineStr">
        <is>
          <t>Total</t>
        </is>
      </c>
      <c r="C33" s="28" t="n"/>
      <c r="D33" s="29">
        <f>SUM(D24:D32)</f>
        <v/>
      </c>
      <c r="E33" s="29">
        <f>SUM(E24:E32)</f>
        <v/>
      </c>
      <c r="F33" s="30">
        <f>IFERROR(E33/D33,0)</f>
        <v/>
      </c>
      <c r="G33" s="31">
        <f>SUM(G24:G32)</f>
        <v/>
      </c>
      <c r="H33" s="31">
        <f>SUM(H24:H32)</f>
        <v/>
      </c>
      <c r="I33" s="28" t="n"/>
      <c r="J33" s="28" t="n"/>
      <c r="K33" s="28" t="n"/>
    </row>
    <row r="35" ht="22" customHeight="1">
      <c r="B35" s="20" t="inlineStr">
        <is>
          <t>4 · REVENUE HEATMAP — REGION × PRODUCT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  <row r="36" ht="30" customHeight="1">
      <c r="B36" s="21" t="inlineStr">
        <is>
          <t>Region</t>
        </is>
      </c>
      <c r="C36" s="21" t="inlineStr">
        <is>
          <t>Laptop</t>
        </is>
      </c>
      <c r="D36" s="21" t="inlineStr">
        <is>
          <t>Tablet</t>
        </is>
      </c>
      <c r="E36" s="21" t="inlineStr">
        <is>
          <t>Phone</t>
        </is>
      </c>
      <c r="F36" s="21" t="inlineStr">
        <is>
          <t>Smartwatch</t>
        </is>
      </c>
      <c r="G36" s="21" t="inlineStr">
        <is>
          <t>Headphones</t>
        </is>
      </c>
      <c r="H36" s="21" t="inlineStr">
        <is>
          <t>Total</t>
        </is>
      </c>
    </row>
    <row r="37">
      <c r="B37" s="22" t="inlineStr">
        <is>
          <t>Abuja</t>
        </is>
      </c>
      <c r="C37" s="24">
        <f>SUMIFS(d_Rev,d_Region,$B37,d_Product,C$36)</f>
        <v/>
      </c>
      <c r="D37" s="24">
        <f>SUMIFS(d_Rev,d_Region,$B37,d_Product,D$36)</f>
        <v/>
      </c>
      <c r="E37" s="24">
        <f>SUMIFS(d_Rev,d_Region,$B37,d_Product,E$36)</f>
        <v/>
      </c>
      <c r="F37" s="24">
        <f>SUMIFS(d_Rev,d_Region,$B37,d_Product,F$36)</f>
        <v/>
      </c>
      <c r="G37" s="24">
        <f>SUMIFS(d_Rev,d_Region,$B37,d_Product,G$36)</f>
        <v/>
      </c>
      <c r="H37" s="34">
        <f>SUM(C37:G37)</f>
        <v/>
      </c>
    </row>
    <row r="38">
      <c r="B38" s="22" t="inlineStr">
        <is>
          <t>Lagos</t>
        </is>
      </c>
      <c r="C38" s="24">
        <f>SUMIFS(d_Rev,d_Region,$B38,d_Product,C$36)</f>
        <v/>
      </c>
      <c r="D38" s="24">
        <f>SUMIFS(d_Rev,d_Region,$B38,d_Product,D$36)</f>
        <v/>
      </c>
      <c r="E38" s="24">
        <f>SUMIFS(d_Rev,d_Region,$B38,d_Product,E$36)</f>
        <v/>
      </c>
      <c r="F38" s="24">
        <f>SUMIFS(d_Rev,d_Region,$B38,d_Product,F$36)</f>
        <v/>
      </c>
      <c r="G38" s="24">
        <f>SUMIFS(d_Rev,d_Region,$B38,d_Product,G$36)</f>
        <v/>
      </c>
      <c r="H38" s="34">
        <f>SUM(C38:G38)</f>
        <v/>
      </c>
    </row>
    <row r="39">
      <c r="B39" s="22" t="inlineStr">
        <is>
          <t>Ibadan</t>
        </is>
      </c>
      <c r="C39" s="24">
        <f>SUMIFS(d_Rev,d_Region,$B39,d_Product,C$36)</f>
        <v/>
      </c>
      <c r="D39" s="24">
        <f>SUMIFS(d_Rev,d_Region,$B39,d_Product,D$36)</f>
        <v/>
      </c>
      <c r="E39" s="24">
        <f>SUMIFS(d_Rev,d_Region,$B39,d_Product,E$36)</f>
        <v/>
      </c>
      <c r="F39" s="24">
        <f>SUMIFS(d_Rev,d_Region,$B39,d_Product,F$36)</f>
        <v/>
      </c>
      <c r="G39" s="24">
        <f>SUMIFS(d_Rev,d_Region,$B39,d_Product,G$36)</f>
        <v/>
      </c>
      <c r="H39" s="34">
        <f>SUM(C39:G39)</f>
        <v/>
      </c>
    </row>
    <row r="40">
      <c r="B40" s="22" t="inlineStr">
        <is>
          <t>Kano</t>
        </is>
      </c>
      <c r="C40" s="24">
        <f>SUMIFS(d_Rev,d_Region,$B40,d_Product,C$36)</f>
        <v/>
      </c>
      <c r="D40" s="24">
        <f>SUMIFS(d_Rev,d_Region,$B40,d_Product,D$36)</f>
        <v/>
      </c>
      <c r="E40" s="24">
        <f>SUMIFS(d_Rev,d_Region,$B40,d_Product,E$36)</f>
        <v/>
      </c>
      <c r="F40" s="24">
        <f>SUMIFS(d_Rev,d_Region,$B40,d_Product,F$36)</f>
        <v/>
      </c>
      <c r="G40" s="24">
        <f>SUMIFS(d_Rev,d_Region,$B40,d_Product,G$36)</f>
        <v/>
      </c>
      <c r="H40" s="34">
        <f>SUM(C40:G40)</f>
        <v/>
      </c>
    </row>
    <row r="41">
      <c r="B41" s="22" t="inlineStr">
        <is>
          <t>Port Harcourt</t>
        </is>
      </c>
      <c r="C41" s="24">
        <f>SUMIFS(d_Rev,d_Region,$B41,d_Product,C$36)</f>
        <v/>
      </c>
      <c r="D41" s="24">
        <f>SUMIFS(d_Rev,d_Region,$B41,d_Product,D$36)</f>
        <v/>
      </c>
      <c r="E41" s="24">
        <f>SUMIFS(d_Rev,d_Region,$B41,d_Product,E$36)</f>
        <v/>
      </c>
      <c r="F41" s="24">
        <f>SUMIFS(d_Rev,d_Region,$B41,d_Product,F$36)</f>
        <v/>
      </c>
      <c r="G41" s="24">
        <f>SUMIFS(d_Rev,d_Region,$B41,d_Product,G$36)</f>
        <v/>
      </c>
      <c r="H41" s="34">
        <f>SUM(C41:G41)</f>
        <v/>
      </c>
    </row>
    <row r="42">
      <c r="B42" s="28" t="inlineStr">
        <is>
          <t>Total</t>
        </is>
      </c>
      <c r="C42" s="29">
        <f>SUM(C37:C41)</f>
        <v/>
      </c>
      <c r="D42" s="29">
        <f>SUM(D37:D41)</f>
        <v/>
      </c>
      <c r="E42" s="29">
        <f>SUM(E37:E41)</f>
        <v/>
      </c>
      <c r="F42" s="29">
        <f>SUM(F37:F41)</f>
        <v/>
      </c>
      <c r="G42" s="29">
        <f>SUM(G37:G41)</f>
        <v/>
      </c>
      <c r="H42" s="29">
        <f>SUM(H37:H41)</f>
        <v/>
      </c>
    </row>
    <row r="44" ht="22" customHeight="1">
      <c r="B44" s="20" t="inlineStr">
        <is>
          <t>5 · PROFIT MARGIN HEATMAP — REGION × PRODUCT</t>
        </is>
      </c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</row>
    <row r="45" ht="30" customHeight="1">
      <c r="B45" s="21" t="inlineStr">
        <is>
          <t>Region</t>
        </is>
      </c>
      <c r="C45" s="21" t="inlineStr">
        <is>
          <t>Laptop</t>
        </is>
      </c>
      <c r="D45" s="21" t="inlineStr">
        <is>
          <t>Tablet</t>
        </is>
      </c>
      <c r="E45" s="21" t="inlineStr">
        <is>
          <t>Phone</t>
        </is>
      </c>
      <c r="F45" s="21" t="inlineStr">
        <is>
          <t>Smartwatch</t>
        </is>
      </c>
      <c r="G45" s="21" t="inlineStr">
        <is>
          <t>Headphones</t>
        </is>
      </c>
      <c r="H45" s="21" t="inlineStr">
        <is>
          <t>All Products</t>
        </is>
      </c>
    </row>
    <row r="46">
      <c r="B46" s="22" t="inlineStr">
        <is>
          <t>Abuja</t>
        </is>
      </c>
      <c r="C46" s="25">
        <f>IFERROR(SUMIFS(d_Profit,d_Region,$B46,d_Product,C$45)/SUMIFS(d_Rev,d_Region,$B46,d_Product,C$45),0)</f>
        <v/>
      </c>
      <c r="D46" s="25">
        <f>IFERROR(SUMIFS(d_Profit,d_Region,$B46,d_Product,D$45)/SUMIFS(d_Rev,d_Region,$B46,d_Product,D$45),0)</f>
        <v/>
      </c>
      <c r="E46" s="25">
        <f>IFERROR(SUMIFS(d_Profit,d_Region,$B46,d_Product,E$45)/SUMIFS(d_Rev,d_Region,$B46,d_Product,E$45),0)</f>
        <v/>
      </c>
      <c r="F46" s="25">
        <f>IFERROR(SUMIFS(d_Profit,d_Region,$B46,d_Product,F$45)/SUMIFS(d_Rev,d_Region,$B46,d_Product,F$45),0)</f>
        <v/>
      </c>
      <c r="G46" s="25">
        <f>IFERROR(SUMIFS(d_Profit,d_Region,$B46,d_Product,G$45)/SUMIFS(d_Rev,d_Region,$B46,d_Product,G$45),0)</f>
        <v/>
      </c>
      <c r="H46" s="35">
        <f>IFERROR(SUMIFS(d_Profit,d_Region,$B46)/SUMIFS(d_Rev,d_Region,$B46),0)</f>
        <v/>
      </c>
    </row>
    <row r="47">
      <c r="B47" s="22" t="inlineStr">
        <is>
          <t>Lagos</t>
        </is>
      </c>
      <c r="C47" s="25">
        <f>IFERROR(SUMIFS(d_Profit,d_Region,$B47,d_Product,C$45)/SUMIFS(d_Rev,d_Region,$B47,d_Product,C$45),0)</f>
        <v/>
      </c>
      <c r="D47" s="25">
        <f>IFERROR(SUMIFS(d_Profit,d_Region,$B47,d_Product,D$45)/SUMIFS(d_Rev,d_Region,$B47,d_Product,D$45),0)</f>
        <v/>
      </c>
      <c r="E47" s="25">
        <f>IFERROR(SUMIFS(d_Profit,d_Region,$B47,d_Product,E$45)/SUMIFS(d_Rev,d_Region,$B47,d_Product,E$45),0)</f>
        <v/>
      </c>
      <c r="F47" s="25">
        <f>IFERROR(SUMIFS(d_Profit,d_Region,$B47,d_Product,F$45)/SUMIFS(d_Rev,d_Region,$B47,d_Product,F$45),0)</f>
        <v/>
      </c>
      <c r="G47" s="25">
        <f>IFERROR(SUMIFS(d_Profit,d_Region,$B47,d_Product,G$45)/SUMIFS(d_Rev,d_Region,$B47,d_Product,G$45),0)</f>
        <v/>
      </c>
      <c r="H47" s="35">
        <f>IFERROR(SUMIFS(d_Profit,d_Region,$B47)/SUMIFS(d_Rev,d_Region,$B47),0)</f>
        <v/>
      </c>
    </row>
    <row r="48">
      <c r="B48" s="22" t="inlineStr">
        <is>
          <t>Ibadan</t>
        </is>
      </c>
      <c r="C48" s="25">
        <f>IFERROR(SUMIFS(d_Profit,d_Region,$B48,d_Product,C$45)/SUMIFS(d_Rev,d_Region,$B48,d_Product,C$45),0)</f>
        <v/>
      </c>
      <c r="D48" s="25">
        <f>IFERROR(SUMIFS(d_Profit,d_Region,$B48,d_Product,D$45)/SUMIFS(d_Rev,d_Region,$B48,d_Product,D$45),0)</f>
        <v/>
      </c>
      <c r="E48" s="25">
        <f>IFERROR(SUMIFS(d_Profit,d_Region,$B48,d_Product,E$45)/SUMIFS(d_Rev,d_Region,$B48,d_Product,E$45),0)</f>
        <v/>
      </c>
      <c r="F48" s="25">
        <f>IFERROR(SUMIFS(d_Profit,d_Region,$B48,d_Product,F$45)/SUMIFS(d_Rev,d_Region,$B48,d_Product,F$45),0)</f>
        <v/>
      </c>
      <c r="G48" s="25">
        <f>IFERROR(SUMIFS(d_Profit,d_Region,$B48,d_Product,G$45)/SUMIFS(d_Rev,d_Region,$B48,d_Product,G$45),0)</f>
        <v/>
      </c>
      <c r="H48" s="35">
        <f>IFERROR(SUMIFS(d_Profit,d_Region,$B48)/SUMIFS(d_Rev,d_Region,$B48),0)</f>
        <v/>
      </c>
    </row>
    <row r="49">
      <c r="B49" s="22" t="inlineStr">
        <is>
          <t>Kano</t>
        </is>
      </c>
      <c r="C49" s="25">
        <f>IFERROR(SUMIFS(d_Profit,d_Region,$B49,d_Product,C$45)/SUMIFS(d_Rev,d_Region,$B49,d_Product,C$45),0)</f>
        <v/>
      </c>
      <c r="D49" s="25">
        <f>IFERROR(SUMIFS(d_Profit,d_Region,$B49,d_Product,D$45)/SUMIFS(d_Rev,d_Region,$B49,d_Product,D$45),0)</f>
        <v/>
      </c>
      <c r="E49" s="25">
        <f>IFERROR(SUMIFS(d_Profit,d_Region,$B49,d_Product,E$45)/SUMIFS(d_Rev,d_Region,$B49,d_Product,E$45),0)</f>
        <v/>
      </c>
      <c r="F49" s="25">
        <f>IFERROR(SUMIFS(d_Profit,d_Region,$B49,d_Product,F$45)/SUMIFS(d_Rev,d_Region,$B49,d_Product,F$45),0)</f>
        <v/>
      </c>
      <c r="G49" s="25">
        <f>IFERROR(SUMIFS(d_Profit,d_Region,$B49,d_Product,G$45)/SUMIFS(d_Rev,d_Region,$B49,d_Product,G$45),0)</f>
        <v/>
      </c>
      <c r="H49" s="35">
        <f>IFERROR(SUMIFS(d_Profit,d_Region,$B49)/SUMIFS(d_Rev,d_Region,$B49),0)</f>
        <v/>
      </c>
    </row>
    <row r="50">
      <c r="B50" s="22" t="inlineStr">
        <is>
          <t>Port Harcourt</t>
        </is>
      </c>
      <c r="C50" s="25">
        <f>IFERROR(SUMIFS(d_Profit,d_Region,$B50,d_Product,C$45)/SUMIFS(d_Rev,d_Region,$B50,d_Product,C$45),0)</f>
        <v/>
      </c>
      <c r="D50" s="25">
        <f>IFERROR(SUMIFS(d_Profit,d_Region,$B50,d_Product,D$45)/SUMIFS(d_Rev,d_Region,$B50,d_Product,D$45),0)</f>
        <v/>
      </c>
      <c r="E50" s="25">
        <f>IFERROR(SUMIFS(d_Profit,d_Region,$B50,d_Product,E$45)/SUMIFS(d_Rev,d_Region,$B50,d_Product,E$45),0)</f>
        <v/>
      </c>
      <c r="F50" s="25">
        <f>IFERROR(SUMIFS(d_Profit,d_Region,$B50,d_Product,F$45)/SUMIFS(d_Rev,d_Region,$B50,d_Product,F$45),0)</f>
        <v/>
      </c>
      <c r="G50" s="25">
        <f>IFERROR(SUMIFS(d_Profit,d_Region,$B50,d_Product,G$45)/SUMIFS(d_Rev,d_Region,$B50,d_Product,G$45),0)</f>
        <v/>
      </c>
      <c r="H50" s="35">
        <f>IFERROR(SUMIFS(d_Profit,d_Region,$B50)/SUMIFS(d_Rev,d_Region,$B50),0)</f>
        <v/>
      </c>
    </row>
    <row r="51">
      <c r="B51" s="28" t="inlineStr">
        <is>
          <t>All Regions</t>
        </is>
      </c>
      <c r="C51" s="30">
        <f>IFERROR(SUMIFS(d_Profit,d_Product,C$45)/SUMIFS(d_Rev,d_Product,C$45),0)</f>
        <v/>
      </c>
      <c r="D51" s="30">
        <f>IFERROR(SUMIFS(d_Profit,d_Product,D$45)/SUMIFS(d_Rev,d_Product,D$45),0)</f>
        <v/>
      </c>
      <c r="E51" s="30">
        <f>IFERROR(SUMIFS(d_Profit,d_Product,E$45)/SUMIFS(d_Rev,d_Product,E$45),0)</f>
        <v/>
      </c>
      <c r="F51" s="30">
        <f>IFERROR(SUMIFS(d_Profit,d_Product,F$45)/SUMIFS(d_Rev,d_Product,F$45),0)</f>
        <v/>
      </c>
      <c r="G51" s="30">
        <f>IFERROR(SUMIFS(d_Profit,d_Product,G$45)/SUMIFS(d_Rev,d_Product,G$45),0)</f>
        <v/>
      </c>
      <c r="H51" s="30">
        <f>SUM(d_Profit)/SUM(d_Rev)</f>
        <v/>
      </c>
    </row>
    <row r="53" ht="22" customHeight="1">
      <c r="B53" s="20" t="inlineStr">
        <is>
          <t>6 · TOP 10 ORDERS BY REVENUE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</row>
    <row r="54" ht="30" customHeight="1">
      <c r="B54" s="21" t="inlineStr">
        <is>
          <t>Rank</t>
        </is>
      </c>
      <c r="C54" s="21" t="inlineStr">
        <is>
          <t>Order ID</t>
        </is>
      </c>
      <c r="D54" s="21" t="inlineStr">
        <is>
          <t>Date</t>
        </is>
      </c>
      <c r="E54" s="21" t="inlineStr">
        <is>
          <t>Region</t>
        </is>
      </c>
      <c r="F54" s="21" t="inlineStr">
        <is>
          <t>Product</t>
        </is>
      </c>
      <c r="G54" s="21" t="inlineStr">
        <is>
          <t>Qty</t>
        </is>
      </c>
      <c r="H54" s="21" t="inlineStr">
        <is>
          <t>Revenue</t>
        </is>
      </c>
      <c r="I54" s="21" t="inlineStr">
        <is>
          <t>Profit</t>
        </is>
      </c>
      <c r="J54" s="21" t="inlineStr">
        <is>
          <t>Margin %</t>
        </is>
      </c>
      <c r="K54" s="21" t="inlineStr">
        <is>
          <t>% of Total Revenue</t>
        </is>
      </c>
    </row>
    <row r="55">
      <c r="B55" s="36" t="n">
        <v>1</v>
      </c>
      <c r="C55" s="23">
        <f>INDEX(d_Order,MATCH(LARGE(d_Rev,$B55),d_Rev,0))</f>
        <v/>
      </c>
      <c r="D55" s="37">
        <f>INDEX(d_Date,MATCH(LARGE(d_Rev,$B55),d_Rev,0))</f>
        <v/>
      </c>
      <c r="E55" s="23">
        <f>INDEX(d_Region,MATCH(LARGE(d_Rev,$B55),d_Rev,0))</f>
        <v/>
      </c>
      <c r="F55" s="23">
        <f>INDEX(d_Product,MATCH(LARGE(d_Rev,$B55),d_Rev,0))</f>
        <v/>
      </c>
      <c r="G55" s="27">
        <f>INDEX(d_Qty,MATCH(LARGE(d_Rev,$B55),d_Rev,0))</f>
        <v/>
      </c>
      <c r="H55" s="24">
        <f>LARGE(d_Rev,$B55)</f>
        <v/>
      </c>
      <c r="I55" s="24">
        <f>INDEX(d_Profit,MATCH(LARGE(d_Rev,$B55),d_Rev,0))</f>
        <v/>
      </c>
      <c r="J55" s="25">
        <f>IFERROR(I55/H55,0)</f>
        <v/>
      </c>
      <c r="K55" s="25">
        <f>H55/SUM(d_Rev)</f>
        <v/>
      </c>
    </row>
    <row r="56">
      <c r="B56" s="36" t="n">
        <v>2</v>
      </c>
      <c r="C56" s="23">
        <f>INDEX(d_Order,MATCH(LARGE(d_Rev,$B56),d_Rev,0))</f>
        <v/>
      </c>
      <c r="D56" s="37">
        <f>INDEX(d_Date,MATCH(LARGE(d_Rev,$B56),d_Rev,0))</f>
        <v/>
      </c>
      <c r="E56" s="23">
        <f>INDEX(d_Region,MATCH(LARGE(d_Rev,$B56),d_Rev,0))</f>
        <v/>
      </c>
      <c r="F56" s="23">
        <f>INDEX(d_Product,MATCH(LARGE(d_Rev,$B56),d_Rev,0))</f>
        <v/>
      </c>
      <c r="G56" s="27">
        <f>INDEX(d_Qty,MATCH(LARGE(d_Rev,$B56),d_Rev,0))</f>
        <v/>
      </c>
      <c r="H56" s="24">
        <f>LARGE(d_Rev,$B56)</f>
        <v/>
      </c>
      <c r="I56" s="24">
        <f>INDEX(d_Profit,MATCH(LARGE(d_Rev,$B56),d_Rev,0))</f>
        <v/>
      </c>
      <c r="J56" s="25">
        <f>IFERROR(I56/H56,0)</f>
        <v/>
      </c>
      <c r="K56" s="25">
        <f>H56/SUM(d_Rev)</f>
        <v/>
      </c>
    </row>
    <row r="57">
      <c r="B57" s="36" t="n">
        <v>3</v>
      </c>
      <c r="C57" s="23">
        <f>INDEX(d_Order,MATCH(LARGE(d_Rev,$B57),d_Rev,0))</f>
        <v/>
      </c>
      <c r="D57" s="37">
        <f>INDEX(d_Date,MATCH(LARGE(d_Rev,$B57),d_Rev,0))</f>
        <v/>
      </c>
      <c r="E57" s="23">
        <f>INDEX(d_Region,MATCH(LARGE(d_Rev,$B57),d_Rev,0))</f>
        <v/>
      </c>
      <c r="F57" s="23">
        <f>INDEX(d_Product,MATCH(LARGE(d_Rev,$B57),d_Rev,0))</f>
        <v/>
      </c>
      <c r="G57" s="27">
        <f>INDEX(d_Qty,MATCH(LARGE(d_Rev,$B57),d_Rev,0))</f>
        <v/>
      </c>
      <c r="H57" s="24">
        <f>LARGE(d_Rev,$B57)</f>
        <v/>
      </c>
      <c r="I57" s="24">
        <f>INDEX(d_Profit,MATCH(LARGE(d_Rev,$B57),d_Rev,0))</f>
        <v/>
      </c>
      <c r="J57" s="25">
        <f>IFERROR(I57/H57,0)</f>
        <v/>
      </c>
      <c r="K57" s="25">
        <f>H57/SUM(d_Rev)</f>
        <v/>
      </c>
    </row>
    <row r="58">
      <c r="B58" s="36" t="n">
        <v>4</v>
      </c>
      <c r="C58" s="23">
        <f>INDEX(d_Order,MATCH(LARGE(d_Rev,$B58),d_Rev,0))</f>
        <v/>
      </c>
      <c r="D58" s="37">
        <f>INDEX(d_Date,MATCH(LARGE(d_Rev,$B58),d_Rev,0))</f>
        <v/>
      </c>
      <c r="E58" s="23">
        <f>INDEX(d_Region,MATCH(LARGE(d_Rev,$B58),d_Rev,0))</f>
        <v/>
      </c>
      <c r="F58" s="23">
        <f>INDEX(d_Product,MATCH(LARGE(d_Rev,$B58),d_Rev,0))</f>
        <v/>
      </c>
      <c r="G58" s="27">
        <f>INDEX(d_Qty,MATCH(LARGE(d_Rev,$B58),d_Rev,0))</f>
        <v/>
      </c>
      <c r="H58" s="24">
        <f>LARGE(d_Rev,$B58)</f>
        <v/>
      </c>
      <c r="I58" s="24">
        <f>INDEX(d_Profit,MATCH(LARGE(d_Rev,$B58),d_Rev,0))</f>
        <v/>
      </c>
      <c r="J58" s="25">
        <f>IFERROR(I58/H58,0)</f>
        <v/>
      </c>
      <c r="K58" s="25">
        <f>H58/SUM(d_Rev)</f>
        <v/>
      </c>
    </row>
    <row r="59">
      <c r="B59" s="36" t="n">
        <v>5</v>
      </c>
      <c r="C59" s="23">
        <f>INDEX(d_Order,MATCH(LARGE(d_Rev,$B59),d_Rev,0))</f>
        <v/>
      </c>
      <c r="D59" s="37">
        <f>INDEX(d_Date,MATCH(LARGE(d_Rev,$B59),d_Rev,0))</f>
        <v/>
      </c>
      <c r="E59" s="23">
        <f>INDEX(d_Region,MATCH(LARGE(d_Rev,$B59),d_Rev,0))</f>
        <v/>
      </c>
      <c r="F59" s="23">
        <f>INDEX(d_Product,MATCH(LARGE(d_Rev,$B59),d_Rev,0))</f>
        <v/>
      </c>
      <c r="G59" s="27">
        <f>INDEX(d_Qty,MATCH(LARGE(d_Rev,$B59),d_Rev,0))</f>
        <v/>
      </c>
      <c r="H59" s="24">
        <f>LARGE(d_Rev,$B59)</f>
        <v/>
      </c>
      <c r="I59" s="24">
        <f>INDEX(d_Profit,MATCH(LARGE(d_Rev,$B59),d_Rev,0))</f>
        <v/>
      </c>
      <c r="J59" s="25">
        <f>IFERROR(I59/H59,0)</f>
        <v/>
      </c>
      <c r="K59" s="25">
        <f>H59/SUM(d_Rev)</f>
        <v/>
      </c>
    </row>
    <row r="60">
      <c r="B60" s="36" t="n">
        <v>6</v>
      </c>
      <c r="C60" s="23">
        <f>INDEX(d_Order,MATCH(LARGE(d_Rev,$B60),d_Rev,0))</f>
        <v/>
      </c>
      <c r="D60" s="37">
        <f>INDEX(d_Date,MATCH(LARGE(d_Rev,$B60),d_Rev,0))</f>
        <v/>
      </c>
      <c r="E60" s="23">
        <f>INDEX(d_Region,MATCH(LARGE(d_Rev,$B60),d_Rev,0))</f>
        <v/>
      </c>
      <c r="F60" s="23">
        <f>INDEX(d_Product,MATCH(LARGE(d_Rev,$B60),d_Rev,0))</f>
        <v/>
      </c>
      <c r="G60" s="27">
        <f>INDEX(d_Qty,MATCH(LARGE(d_Rev,$B60),d_Rev,0))</f>
        <v/>
      </c>
      <c r="H60" s="24">
        <f>LARGE(d_Rev,$B60)</f>
        <v/>
      </c>
      <c r="I60" s="24">
        <f>INDEX(d_Profit,MATCH(LARGE(d_Rev,$B60),d_Rev,0))</f>
        <v/>
      </c>
      <c r="J60" s="25">
        <f>IFERROR(I60/H60,0)</f>
        <v/>
      </c>
      <c r="K60" s="25">
        <f>H60/SUM(d_Rev)</f>
        <v/>
      </c>
    </row>
    <row r="61">
      <c r="B61" s="36" t="n">
        <v>7</v>
      </c>
      <c r="C61" s="23">
        <f>INDEX(d_Order,MATCH(LARGE(d_Rev,$B61),d_Rev,0))</f>
        <v/>
      </c>
      <c r="D61" s="37">
        <f>INDEX(d_Date,MATCH(LARGE(d_Rev,$B61),d_Rev,0))</f>
        <v/>
      </c>
      <c r="E61" s="23">
        <f>INDEX(d_Region,MATCH(LARGE(d_Rev,$B61),d_Rev,0))</f>
        <v/>
      </c>
      <c r="F61" s="23">
        <f>INDEX(d_Product,MATCH(LARGE(d_Rev,$B61),d_Rev,0))</f>
        <v/>
      </c>
      <c r="G61" s="27">
        <f>INDEX(d_Qty,MATCH(LARGE(d_Rev,$B61),d_Rev,0))</f>
        <v/>
      </c>
      <c r="H61" s="24">
        <f>LARGE(d_Rev,$B61)</f>
        <v/>
      </c>
      <c r="I61" s="24">
        <f>INDEX(d_Profit,MATCH(LARGE(d_Rev,$B61),d_Rev,0))</f>
        <v/>
      </c>
      <c r="J61" s="25">
        <f>IFERROR(I61/H61,0)</f>
        <v/>
      </c>
      <c r="K61" s="25">
        <f>H61/SUM(d_Rev)</f>
        <v/>
      </c>
    </row>
    <row r="62">
      <c r="B62" s="36" t="n">
        <v>8</v>
      </c>
      <c r="C62" s="23">
        <f>INDEX(d_Order,MATCH(LARGE(d_Rev,$B62),d_Rev,0))</f>
        <v/>
      </c>
      <c r="D62" s="37">
        <f>INDEX(d_Date,MATCH(LARGE(d_Rev,$B62),d_Rev,0))</f>
        <v/>
      </c>
      <c r="E62" s="23">
        <f>INDEX(d_Region,MATCH(LARGE(d_Rev,$B62),d_Rev,0))</f>
        <v/>
      </c>
      <c r="F62" s="23">
        <f>INDEX(d_Product,MATCH(LARGE(d_Rev,$B62),d_Rev,0))</f>
        <v/>
      </c>
      <c r="G62" s="27">
        <f>INDEX(d_Qty,MATCH(LARGE(d_Rev,$B62),d_Rev,0))</f>
        <v/>
      </c>
      <c r="H62" s="24">
        <f>LARGE(d_Rev,$B62)</f>
        <v/>
      </c>
      <c r="I62" s="24">
        <f>INDEX(d_Profit,MATCH(LARGE(d_Rev,$B62),d_Rev,0))</f>
        <v/>
      </c>
      <c r="J62" s="25">
        <f>IFERROR(I62/H62,0)</f>
        <v/>
      </c>
      <c r="K62" s="25">
        <f>H62/SUM(d_Rev)</f>
        <v/>
      </c>
    </row>
    <row r="63">
      <c r="B63" s="36" t="n">
        <v>9</v>
      </c>
      <c r="C63" s="23">
        <f>INDEX(d_Order,MATCH(LARGE(d_Rev,$B63),d_Rev,0))</f>
        <v/>
      </c>
      <c r="D63" s="37">
        <f>INDEX(d_Date,MATCH(LARGE(d_Rev,$B63),d_Rev,0))</f>
        <v/>
      </c>
      <c r="E63" s="23">
        <f>INDEX(d_Region,MATCH(LARGE(d_Rev,$B63),d_Rev,0))</f>
        <v/>
      </c>
      <c r="F63" s="23">
        <f>INDEX(d_Product,MATCH(LARGE(d_Rev,$B63),d_Rev,0))</f>
        <v/>
      </c>
      <c r="G63" s="27">
        <f>INDEX(d_Qty,MATCH(LARGE(d_Rev,$B63),d_Rev,0))</f>
        <v/>
      </c>
      <c r="H63" s="24">
        <f>LARGE(d_Rev,$B63)</f>
        <v/>
      </c>
      <c r="I63" s="24">
        <f>INDEX(d_Profit,MATCH(LARGE(d_Rev,$B63),d_Rev,0))</f>
        <v/>
      </c>
      <c r="J63" s="25">
        <f>IFERROR(I63/H63,0)</f>
        <v/>
      </c>
      <c r="K63" s="25">
        <f>H63/SUM(d_Rev)</f>
        <v/>
      </c>
    </row>
    <row r="64">
      <c r="B64" s="36" t="n">
        <v>10</v>
      </c>
      <c r="C64" s="23">
        <f>INDEX(d_Order,MATCH(LARGE(d_Rev,$B64),d_Rev,0))</f>
        <v/>
      </c>
      <c r="D64" s="37">
        <f>INDEX(d_Date,MATCH(LARGE(d_Rev,$B64),d_Rev,0))</f>
        <v/>
      </c>
      <c r="E64" s="23">
        <f>INDEX(d_Region,MATCH(LARGE(d_Rev,$B64),d_Rev,0))</f>
        <v/>
      </c>
      <c r="F64" s="23">
        <f>INDEX(d_Product,MATCH(LARGE(d_Rev,$B64),d_Rev,0))</f>
        <v/>
      </c>
      <c r="G64" s="27">
        <f>INDEX(d_Qty,MATCH(LARGE(d_Rev,$B64),d_Rev,0))</f>
        <v/>
      </c>
      <c r="H64" s="24">
        <f>LARGE(d_Rev,$B64)</f>
        <v/>
      </c>
      <c r="I64" s="24">
        <f>INDEX(d_Profit,MATCH(LARGE(d_Rev,$B64),d_Rev,0))</f>
        <v/>
      </c>
      <c r="J64" s="25">
        <f>IFERROR(I64/H64,0)</f>
        <v/>
      </c>
      <c r="K64" s="25">
        <f>H64/SUM(d_Rev)</f>
        <v/>
      </c>
    </row>
    <row r="65">
      <c r="B65" s="28" t="inlineStr">
        <is>
          <t>Top 10 combined</t>
        </is>
      </c>
      <c r="C65" s="28" t="n"/>
      <c r="D65" s="28" t="n"/>
      <c r="E65" s="28" t="n"/>
      <c r="F65" s="28" t="n"/>
      <c r="G65" s="28" t="n"/>
      <c r="H65" s="29">
        <f>SUM(H55:H64)</f>
        <v/>
      </c>
      <c r="I65" s="29">
        <f>SUM(I55:I64)</f>
        <v/>
      </c>
      <c r="J65" s="30">
        <f>IFERROR(I65/H65,0)</f>
        <v/>
      </c>
      <c r="K65" s="30">
        <f>SUM(K55:K64)</f>
        <v/>
      </c>
    </row>
    <row r="67" ht="22" customHeight="1">
      <c r="B67" s="20" t="inlineStr">
        <is>
          <t>7 · WHAT-IF SIMULATOR   (edit the yellow cells)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</row>
    <row r="68">
      <c r="B68" s="38" t="inlineStr">
        <is>
          <t>Product to simulate</t>
        </is>
      </c>
      <c r="C68" s="38" t="n"/>
      <c r="D68" s="39" t="inlineStr">
        <is>
          <t>Laptop</t>
        </is>
      </c>
      <c r="F68" s="40" t="inlineStr">
        <is>
          <t>How to read this: choose a product, then test a margin improvement (e.g. +2 points through supplier negotiation or pricing) and/or a volume change. The simulator shows the extra profit and what it means for total company profit. All results are formula-driven and update instantly.</t>
        </is>
      </c>
      <c r="G68" s="40" t="n"/>
      <c r="H68" s="40" t="n"/>
      <c r="I68" s="40" t="n"/>
      <c r="J68" s="40" t="n"/>
      <c r="K68" s="40" t="n"/>
    </row>
    <row r="69">
      <c r="B69" s="38" t="inlineStr">
        <is>
          <t>Margin uplift (percentage points)</t>
        </is>
      </c>
      <c r="C69" s="38" t="n"/>
      <c r="D69" s="41" t="n">
        <v>0.02</v>
      </c>
      <c r="F69" s="40" t="n"/>
      <c r="G69" s="40" t="n"/>
      <c r="H69" s="40" t="n"/>
      <c r="I69" s="40" t="n"/>
      <c r="J69" s="40" t="n"/>
      <c r="K69" s="40" t="n"/>
    </row>
    <row r="70">
      <c r="B70" s="38" t="inlineStr">
        <is>
          <t>Volume change</t>
        </is>
      </c>
      <c r="C70" s="38" t="n"/>
      <c r="D70" s="41" t="n">
        <v>0</v>
      </c>
      <c r="F70" s="40" t="n"/>
      <c r="G70" s="40" t="n"/>
      <c r="H70" s="40" t="n"/>
      <c r="I70" s="40" t="n"/>
      <c r="J70" s="40" t="n"/>
      <c r="K70" s="40" t="n"/>
    </row>
    <row r="71">
      <c r="B71" s="42" t="inlineStr">
        <is>
          <t>Current revenue</t>
        </is>
      </c>
      <c r="C71" s="42" t="n"/>
      <c r="D71" s="43">
        <f>SUMIFS(d_Rev,d_Product,D68)</f>
        <v/>
      </c>
      <c r="F71" s="40" t="n"/>
      <c r="G71" s="40" t="n"/>
      <c r="H71" s="40" t="n"/>
      <c r="I71" s="40" t="n"/>
      <c r="J71" s="40" t="n"/>
      <c r="K71" s="40" t="n"/>
    </row>
    <row r="72">
      <c r="B72" s="42" t="inlineStr">
        <is>
          <t>Current profit</t>
        </is>
      </c>
      <c r="C72" s="42" t="n"/>
      <c r="D72" s="43">
        <f>SUMIFS(d_Profit,d_Product,D68)</f>
        <v/>
      </c>
      <c r="F72" s="40" t="n"/>
      <c r="G72" s="40" t="n"/>
      <c r="H72" s="40" t="n"/>
      <c r="I72" s="40" t="n"/>
      <c r="J72" s="40" t="n"/>
      <c r="K72" s="40" t="n"/>
    </row>
    <row r="73">
      <c r="B73" s="42" t="inlineStr">
        <is>
          <t>Current margin</t>
        </is>
      </c>
      <c r="C73" s="42" t="n"/>
      <c r="D73" s="25">
        <f>IFERROR(D72/D71,0)</f>
        <v/>
      </c>
    </row>
    <row r="74">
      <c r="B74" s="42" t="inlineStr">
        <is>
          <t>Scenario revenue</t>
        </is>
      </c>
      <c r="C74" s="42" t="n"/>
      <c r="D74" s="43">
        <f>D71*(1+D70)</f>
        <v/>
      </c>
    </row>
    <row r="75">
      <c r="B75" s="42" t="inlineStr">
        <is>
          <t>Scenario margin</t>
        </is>
      </c>
      <c r="C75" s="42" t="n"/>
      <c r="D75" s="25">
        <f>D73+D69</f>
        <v/>
      </c>
    </row>
    <row r="76">
      <c r="B76" s="42" t="inlineStr">
        <is>
          <t>Scenario profit</t>
        </is>
      </c>
      <c r="C76" s="42" t="n"/>
      <c r="D76" s="43">
        <f>D74*D75</f>
        <v/>
      </c>
    </row>
    <row r="77">
      <c r="B77" s="44" t="inlineStr">
        <is>
          <t>Incremental profit</t>
        </is>
      </c>
      <c r="C77" s="44" t="n"/>
      <c r="D77" s="45">
        <f>D76-D72</f>
        <v/>
      </c>
    </row>
    <row r="78">
      <c r="B78" s="44" t="inlineStr">
        <is>
          <t>Impact on total company profit</t>
        </is>
      </c>
      <c r="C78" s="44" t="n"/>
      <c r="D78" s="46">
        <f>IFERROR(D77/SUM(d_Profit),0)</f>
        <v/>
      </c>
    </row>
  </sheetData>
  <mergeCells count="20">
    <mergeCell ref="B72:C72"/>
    <mergeCell ref="F68:K72"/>
    <mergeCell ref="B71:C71"/>
    <mergeCell ref="B77:C77"/>
    <mergeCell ref="B70:C70"/>
    <mergeCell ref="B4:K4"/>
    <mergeCell ref="B35:K35"/>
    <mergeCell ref="B73:C73"/>
    <mergeCell ref="B1:K2"/>
    <mergeCell ref="B69:C69"/>
    <mergeCell ref="B22:K22"/>
    <mergeCell ref="B78:C78"/>
    <mergeCell ref="B67:K67"/>
    <mergeCell ref="B74:C74"/>
    <mergeCell ref="B68:C68"/>
    <mergeCell ref="B13:K13"/>
    <mergeCell ref="B76:C76"/>
    <mergeCell ref="B44:K44"/>
    <mergeCell ref="B53:K53"/>
    <mergeCell ref="B75:C75"/>
  </mergeCells>
  <conditionalFormatting sqref="I6:I10">
    <cfRule type="dataBar" priority="1">
      <dataBar>
        <cfvo type="num" val="0"/>
        <cfvo type="num" val="1"/>
        <color rgb="000F9D9A"/>
      </dataBar>
    </cfRule>
  </conditionalFormatting>
  <conditionalFormatting sqref="I15:I19">
    <cfRule type="dataBar" priority="2">
      <dataBar>
        <cfvo type="num" val="0"/>
        <cfvo type="num" val="1"/>
        <color rgb="000F9D9A"/>
      </dataBar>
    </cfRule>
  </conditionalFormatting>
  <conditionalFormatting sqref="F6:F10">
    <cfRule type="colorScale" priority="3">
      <colorScale>
        <cfvo type="min"/>
        <cfvo type="max"/>
        <color rgb="00F8D7DA"/>
        <color rgb="00D4EDDA"/>
      </colorScale>
    </cfRule>
  </conditionalFormatting>
  <conditionalFormatting sqref="F15:F19">
    <cfRule type="colorScale" priority="4">
      <colorScale>
        <cfvo type="min"/>
        <cfvo type="max"/>
        <color rgb="00F8D7DA"/>
        <color rgb="00D4EDDA"/>
      </colorScale>
    </cfRule>
  </conditionalFormatting>
  <conditionalFormatting sqref="C37:G41">
    <cfRule type="colorScale" priority="5">
      <colorScale>
        <cfvo type="min"/>
        <cfvo type="percentile" val="50"/>
        <cfvo type="max"/>
        <color rgb="00FFFFFF"/>
        <color rgb="00B7E4E1"/>
        <color rgb="000F9D9A"/>
      </colorScale>
    </cfRule>
  </conditionalFormatting>
  <conditionalFormatting sqref="C46:G50">
    <cfRule type="colorScale" priority="6">
      <colorScale>
        <cfvo type="min"/>
        <cfvo type="percentile" val="50"/>
        <cfvo type="max"/>
        <color rgb="00F4B6B6"/>
        <color rgb="00FFF5CC"/>
        <color rgb="009ADBB0"/>
      </colorScale>
    </cfRule>
  </conditionalFormatting>
  <conditionalFormatting sqref="I25:I3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K24:K32">
    <cfRule type="cellIs" priority="9" operator="lessThan" dxfId="0">
      <formula>0</formula>
    </cfRule>
    <cfRule type="cellIs" priority="10" operator="greaterThan" dxfId="1">
      <formula>0</formula>
    </cfRule>
  </conditionalFormatting>
  <dataValidations count="1">
    <dataValidation sqref="D68" showDropDown="0" showInputMessage="0" showErrorMessage="0" allowBlank="0" type="list">
      <formula1>=Lists!$C$3:$C$7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/>
  </sheetPr>
  <dimension ref="B1:E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72" customWidth="1" min="3" max="3"/>
    <col width="56" customWidth="1" min="4" max="4"/>
    <col width="22" customWidth="1" min="5" max="5"/>
  </cols>
  <sheetData>
    <row r="1" ht="20" customHeight="1">
      <c r="B1" s="19" t="inlineStr">
        <is>
          <t>INSIGHTS &amp; RECOMMENDATIONS  |  Generated live from the data</t>
        </is>
      </c>
      <c r="C1" s="19" t="n"/>
      <c r="D1" s="19" t="n"/>
      <c r="E1" s="19" t="n"/>
    </row>
    <row r="2" ht="20" customHeight="1">
      <c r="B2" s="19" t="n"/>
      <c r="C2" s="19" t="n"/>
      <c r="D2" s="19" t="n"/>
      <c r="E2" s="19" t="n"/>
    </row>
    <row r="4" ht="22" customHeight="1">
      <c r="B4" s="20" t="inlineStr">
        <is>
          <t>KEY FINDINGS</t>
        </is>
      </c>
      <c r="C4" s="20" t="n"/>
      <c r="D4" s="20" t="n"/>
      <c r="E4" s="20" t="n"/>
    </row>
    <row r="5" ht="34" customHeight="1">
      <c r="B5" s="47" t="inlineStr">
        <is>
          <t>F1</t>
        </is>
      </c>
      <c r="C5" s="48">
        <f>INDEX(Analysis!$B$6:$B$10,MATCH(MAX(Analysis!$D$6:$D$10),Analysis!$D$6:$D$10,0))&amp;" is the revenue engine, contributing "&amp;TEXT(MAX(Analysis!$I$6:$I$10),"0.0%")&amp;" of total revenue (₦"&amp;TEXT(MAX(Analysis!$D$6:$D$10)/1000000,"#,##0.0")&amp;"M of ₦"&amp;TEXT(Analysis!$D$11/1000000,"#,##0.0")&amp;"M)."</f>
        <v/>
      </c>
      <c r="D5" s="48" t="n"/>
      <c r="E5" s="48" t="n"/>
    </row>
    <row r="6" ht="34" customHeight="1">
      <c r="B6" s="47" t="inlineStr">
        <is>
          <t>F2</t>
        </is>
      </c>
      <c r="C6" s="48">
        <f>"Revenue is concentrated: the top two products ("&amp;Analysis!B6&amp;" and "&amp;Analysis!B7&amp;") deliver "&amp;TEXT(Analysis!J7,"0.0%")&amp;" of sales, so a demand or supply shock in either line hits the whole business."</f>
        <v/>
      </c>
      <c r="D6" s="48" t="n"/>
      <c r="E6" s="48" t="n"/>
    </row>
    <row r="7" ht="34" customHeight="1">
      <c r="B7" s="47" t="inlineStr">
        <is>
          <t>F3</t>
        </is>
      </c>
      <c r="C7" s="48">
        <f>"Margin gap: "&amp;INDEX(Analysis!$B$6:$B$10,MATCH(MIN(Analysis!$F$6:$F$10),Analysis!$F$6:$F$10,0))&amp;" has the thinnest margin ("&amp;TEXT(MIN(Analysis!$F$6:$F$10),"0.0%")&amp;") while "&amp;INDEX(Analysis!$B$6:$B$10,MATCH(MAX(Analysis!$F$6:$F$10),Analysis!$F$6:$F$10,0))&amp;" is the most profitable per naira sold ("&amp;TEXT(MAX(Analysis!$F$6:$F$10),"0.0%")&amp;"). Company average: "&amp;TEXT(Analysis!F11,"0.0%")&amp;"."</f>
        <v/>
      </c>
      <c r="D7" s="48" t="n"/>
      <c r="E7" s="48" t="n"/>
    </row>
    <row r="8" ht="34" customHeight="1">
      <c r="B8" s="47" t="inlineStr">
        <is>
          <t>F4</t>
        </is>
      </c>
      <c r="C8" s="48">
        <f>Analysis!B15&amp;" is the strongest region at ₦"&amp;TEXT(Analysis!D15/1000000,"#,##0.0")&amp;"M ("&amp;TEXT(Analysis!I15,"0.0%")&amp;"); together with "&amp;Analysis!B16&amp;" it generates "&amp;TEXT(Analysis!I15+Analysis!I16,"0.0%")&amp;" of revenue."</f>
        <v/>
      </c>
      <c r="D8" s="48" t="n"/>
      <c r="E8" s="48" t="n"/>
    </row>
    <row r="9" ht="34" customHeight="1">
      <c r="B9" s="47" t="inlineStr">
        <is>
          <t>F5</t>
        </is>
      </c>
      <c r="C9" s="48">
        <f>INDEX(Analysis!$B$15:$B$19,MATCH(MAX(Analysis!$F$15:$F$19),Analysis!$F$15:$F$19,0))&amp;" earns the best regional margin ("&amp;TEXT(MAX(Analysis!$F$15:$F$19),"0.0%")&amp;") yet ranks "&amp;INDEX(Analysis!$K$15:$K$19,MATCH(MAX(Analysis!$F$15:$F$19),Analysis!$F$15:$F$19,0))&amp;" of 5 on revenue, while "&amp;INDEX(Analysis!$B$15:$B$19,MATCH(MIN(Analysis!$F$15:$F$19),Analysis!$F$15:$F$19,0))&amp;" has the weakest margin ("&amp;TEXT(MIN(Analysis!$F$15:$F$19),"0.0%")&amp;")."</f>
        <v/>
      </c>
      <c r="D9" s="48" t="n"/>
      <c r="E9" s="48" t="n"/>
    </row>
    <row r="10" ht="34" customHeight="1">
      <c r="B10" s="47" t="inlineStr">
        <is>
          <t>F6</t>
        </is>
      </c>
      <c r="C10" s="48">
        <f>"Revenue peaked in "&amp;TEXT(INDEX(Analysis!$B$24:$B$32,MATCH(MAX(Analysis!$D$24:$D$32),Analysis!$D$24:$D$32,0)),"mmmm")&amp;" (₦"&amp;TEXT(MAX(Analysis!$D$24:$D$32)/1000000,"#,##0.0")&amp;"M) and was weakest in "&amp;TEXT(INDEX(Analysis!$B$24:$B$32,MATCH(MIN(Analysis!$D$24:$D$32),Analysis!$D$24:$D$32,0)),"mmmm")&amp;" (₦"&amp;TEXT(MIN(Analysis!$D$24:$D$32)/1000000,"#,##0.0")&amp;"M). The latest month moved "&amp;TEXT(Analysis!I32,"+0.0%;-0.0%")&amp;" versus the month before."</f>
        <v/>
      </c>
      <c r="D10" s="48" t="n"/>
      <c r="E10" s="48" t="n"/>
    </row>
    <row r="11" ht="34" customHeight="1">
      <c r="B11" s="47" t="inlineStr">
        <is>
          <t>F7</t>
        </is>
      </c>
      <c r="C11" s="48">
        <f>Analysis!B10&amp;" is volume-heavy but value-light: "&amp;TEXT(Analysis!G10/Analysis!G11,"0.0%")&amp;" of units sold but only "&amp;TEXT(Analysis!I10,"0.0%")&amp;" of revenue."</f>
        <v/>
      </c>
      <c r="D11" s="48" t="n"/>
      <c r="E11" s="48" t="n"/>
    </row>
    <row r="12" ht="34" customHeight="1">
      <c r="B12" s="47" t="inlineStr">
        <is>
          <t>F8</t>
        </is>
      </c>
      <c r="C12" s="48">
        <f>Analysis!B40&amp;" has a distinctive demand profile: "&amp;Analysis!D36&amp;" makes up "&amp;TEXT(Analysis!D40/Analysis!H40,"0%")&amp;" of its revenue, versus "&amp;TEXT(Analysis!D42/Analysis!H42,"0%")&amp;" company-wide."</f>
        <v/>
      </c>
      <c r="D12" s="48" t="n"/>
      <c r="E12" s="48" t="n"/>
    </row>
    <row r="15" ht="22" customHeight="1">
      <c r="B15" s="20" t="inlineStr">
        <is>
          <t>RECOMMENDATIONS</t>
        </is>
      </c>
      <c r="C15" s="20" t="n"/>
      <c r="D15" s="20" t="n"/>
      <c r="E15" s="20" t="n"/>
    </row>
    <row r="16" ht="26" customHeight="1">
      <c r="B16" s="21" t="inlineStr">
        <is>
          <t>#</t>
        </is>
      </c>
      <c r="C16" s="21" t="inlineStr">
        <is>
          <t>Recommendation</t>
        </is>
      </c>
      <c r="D16" s="21" t="inlineStr">
        <is>
          <t>Evidence from the data</t>
        </is>
      </c>
      <c r="E16" s="21" t="inlineStr">
        <is>
          <t>Illustrative profit upside</t>
        </is>
      </c>
    </row>
    <row r="17" ht="44" customHeight="1">
      <c r="B17" s="47" t="n">
        <v>1</v>
      </c>
      <c r="C17" s="48">
        <f>"Protect "&amp;Analysis!B6&amp;" margins: renegotiate supplier cost, introduce tiered pricing or bundle accessories to lift margin on the top-selling line."</f>
        <v/>
      </c>
      <c r="D17" s="49">
        <f>"Largest revenue line ("&amp;TEXT(Analysis!I6,"0.0%")&amp;" of sales) with a "&amp;TEXT(Analysis!F6,"0.0%")&amp;" margin vs "&amp;TEXT(Analysis!F11,"0.0%")&amp;" company average."</f>
        <v/>
      </c>
      <c r="E17" s="45">
        <f>Analysis!D6*$E$27</f>
        <v/>
      </c>
    </row>
    <row r="18" ht="44" customHeight="1">
      <c r="B18" s="47" t="n">
        <v>2</v>
      </c>
      <c r="C18" s="48">
        <f>"Lift "&amp;INDEX(Analysis!$B$15:$B$19,MATCH(MIN(Analysis!$F$15:$F$19),Analysis!$F$15:$F$19,0))&amp;" margins toward the company average: review discounting, delivery cost and product mix."</f>
        <v/>
      </c>
      <c r="D18" s="49">
        <f>INDEX(Analysis!$B$15:$B$19,MATCH(MIN(Analysis!$F$15:$F$19),Analysis!$F$15:$F$19,0))&amp;" margin is "&amp;TEXT(MIN(Analysis!$F$15:$F$19),"0.0%")&amp;" vs "&amp;TEXT(Analysis!F20,"0.0%")&amp;" company-wide, on ₦"&amp;TEXT(INDEX(Analysis!$D$15:$D$19,MATCH(MIN(Analysis!$F$15:$F$19),Analysis!$F$15:$F$19,0))/1000000,"#,##0.0")&amp;"M revenue."</f>
        <v/>
      </c>
      <c r="E18" s="45">
        <f>INDEX(Analysis!$D$15:$D$19,MATCH(MIN(Analysis!$F$15:$F$19),Analysis!$F$15:$F$19,0))*(Analysis!F20-MIN(Analysis!$F$15:$F$19))*$E$28</f>
        <v/>
      </c>
    </row>
    <row r="19" ht="44" customHeight="1">
      <c r="B19" s="47" t="n">
        <v>3</v>
      </c>
      <c r="C19" s="48">
        <f>"Prioritise "&amp;INDEX(Analysis!$B$6:$B$10,MATCH(MAX(Analysis!$F$6:$F$10),Analysis!$F$6:$F$10,0))&amp;" in marketing and inventory planning: it turns revenue into profit most efficiently."</f>
        <v/>
      </c>
      <c r="D19" s="49">
        <f>INDEX(Analysis!$B$6:$B$10,MATCH(MAX(Analysis!$F$6:$F$10),Analysis!$F$6:$F$10,0))&amp;" earns a "&amp;TEXT(MAX(Analysis!$F$6:$F$10),"0.0%")&amp;" margin, the best of all product lines."</f>
        <v/>
      </c>
      <c r="E19" s="45">
        <f>INDEX(Analysis!$D$6:$D$10,MATCH(MAX(Analysis!$F$6:$F$10),Analysis!$F$6:$F$10,0))*$E$29*MAX(Analysis!$F$6:$F$10)</f>
        <v/>
      </c>
    </row>
    <row r="20" ht="44" customHeight="1">
      <c r="B20" s="47" t="n">
        <v>4</v>
      </c>
      <c r="C20" s="48">
        <f>"Scale what works in "&amp;INDEX(Analysis!$B$15:$B$19,MATCH(MAX(Analysis!$F$15:$F$19),Analysis!$F$15:$F$19,0))&amp;": replicate its pricing and cost discipline and expand reach in this high-margin market."</f>
        <v/>
      </c>
      <c r="D20" s="49">
        <f>INDEX(Analysis!$B$15:$B$19,MATCH(MAX(Analysis!$F$15:$F$19),Analysis!$F$15:$F$19,0))&amp;" has the best margin ("&amp;TEXT(MAX(Analysis!$F$15:$F$19),"0.0%")&amp;") but ranks "&amp;INDEX(Analysis!$K$15:$K$19,MATCH(MAX(Analysis!$F$15:$F$19),Analysis!$F$15:$F$19,0))&amp;" of 5 on revenue."</f>
        <v/>
      </c>
      <c r="E20" s="45">
        <f>INDEX(Analysis!$D$15:$D$19,MATCH(MAX(Analysis!$F$15:$F$19),Analysis!$F$15:$F$19,0))*$E$29*MAX(Analysis!$F$15:$F$19)</f>
        <v/>
      </c>
    </row>
    <row r="21" ht="44" customHeight="1">
      <c r="B21" s="47" t="n">
        <v>5</v>
      </c>
      <c r="C21" s="48">
        <f>"Grow "&amp;Analysis!B10&amp;" through bundling and attach-selling with "&amp;Analysis!B6&amp;" and "&amp;Analysis!B8&amp;" purchases (high volume, low ticket size)."</f>
        <v/>
      </c>
      <c r="D21" s="49">
        <f>Analysis!B10&amp;" = "&amp;TEXT(Analysis!G10/Analysis!G11,"0.0%")&amp;" of units but "&amp;TEXT(Analysis!I10,"0.0%")&amp;" of revenue."</f>
        <v/>
      </c>
      <c r="E21" s="45">
        <f>Analysis!E10*$E$29</f>
        <v/>
      </c>
    </row>
    <row r="22" ht="44" customHeight="1">
      <c r="B22" s="47" t="n">
        <v>6</v>
      </c>
      <c r="C22" s="48">
        <f>"Investigate the "&amp;TEXT(Analysis!B32,"mmmm")&amp;" revenue dip: check stock-outs, promotions and sales coverage, and add a monthly early-warning KPI."</f>
        <v/>
      </c>
      <c r="D22" s="49">
        <f>"Revenue in "&amp;TEXT(Analysis!B32,"mmmm")&amp;" was "&amp;TEXT(ABS(Analysis!K32),"0%")&amp;IF(Analysis!K32&lt;0," below"," above")&amp;" the monthly average ("&amp;TEXT(Analysis!I32,"+0.0%;-0.0%")&amp;" vs prior month)."</f>
        <v/>
      </c>
      <c r="E22" s="45">
        <f>MAX(0,AVERAGE(Analysis!$D$24:$D$32)-Analysis!D32)*Analysis!F33</f>
        <v/>
      </c>
    </row>
    <row r="23">
      <c r="B23" s="50" t="inlineStr">
        <is>
          <t>Upside figures are illustrative scenarios built on the assumptions below. They overlap, so they should not be added together.</t>
        </is>
      </c>
      <c r="C23" s="50" t="n"/>
      <c r="D23" s="50" t="n"/>
      <c r="E23" s="50" t="n"/>
    </row>
    <row r="25" ht="22" customHeight="1">
      <c r="B25" s="20" t="inlineStr">
        <is>
          <t>ASSUMPTIONS   (editable — yellow cells)</t>
        </is>
      </c>
      <c r="C25" s="20" t="n"/>
      <c r="D25" s="20" t="n"/>
      <c r="E25" s="20" t="n"/>
    </row>
    <row r="26">
      <c r="B26" s="51" t="inlineStr">
        <is>
          <t>Source: analyst assumptions (not from the dataset). Change them to test other scenarios.</t>
        </is>
      </c>
    </row>
    <row r="27">
      <c r="B27" s="52" t="inlineStr">
        <is>
          <t>Margin improvement on the top-selling product (percentage points)</t>
        </is>
      </c>
      <c r="C27" s="52" t="n"/>
      <c r="D27" s="52" t="n"/>
      <c r="E27" s="41" t="n">
        <v>0.01</v>
      </c>
    </row>
    <row r="28">
      <c r="B28" s="52" t="inlineStr">
        <is>
          <t>Share of the margin gap closed in the weakest-margin region</t>
        </is>
      </c>
      <c r="C28" s="52" t="n"/>
      <c r="D28" s="52" t="n"/>
      <c r="E28" s="41" t="n">
        <v>0.5</v>
      </c>
    </row>
    <row r="29">
      <c r="B29" s="52" t="inlineStr">
        <is>
          <t>Illustrative revenue growth for targeted products / regions</t>
        </is>
      </c>
      <c r="C29" s="52" t="n"/>
      <c r="D29" s="52" t="n"/>
      <c r="E29" s="41" t="n">
        <v>0.1</v>
      </c>
    </row>
  </sheetData>
  <mergeCells count="16">
    <mergeCell ref="B28:D28"/>
    <mergeCell ref="B23:E23"/>
    <mergeCell ref="C11:E11"/>
    <mergeCell ref="B29:D29"/>
    <mergeCell ref="C5:E5"/>
    <mergeCell ref="B4:E4"/>
    <mergeCell ref="C8:E8"/>
    <mergeCell ref="C9:E9"/>
    <mergeCell ref="B15:E15"/>
    <mergeCell ref="B27:D27"/>
    <mergeCell ref="B25:E25"/>
    <mergeCell ref="B1:E2"/>
    <mergeCell ref="C7:E7"/>
    <mergeCell ref="C12:E12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3" customWidth="1" min="4" max="4"/>
    <col width="13" customWidth="1" min="5" max="5"/>
    <col width="10" customWidth="1" min="6" max="6"/>
    <col width="14" customWidth="1" min="7" max="7"/>
    <col width="15" customWidth="1" min="8" max="8"/>
    <col width="15" customWidth="1" min="9" max="9"/>
    <col width="15" customWidth="1" min="10" max="10"/>
    <col width="9" customWidth="1" min="11" max="11"/>
    <col width="10" customWidth="1" min="12" max="12"/>
    <col width="9" customWidth="1" min="13" max="13"/>
    <col width="10" customWidth="1" min="14" max="14"/>
  </cols>
  <sheetData>
    <row r="1" ht="24" customHeight="1">
      <c r="A1" s="53" t="inlineStr">
        <is>
          <t>Order ID</t>
        </is>
      </c>
      <c r="B1" s="53" t="inlineStr">
        <is>
          <t>Date</t>
        </is>
      </c>
      <c r="C1" s="53" t="inlineStr">
        <is>
          <t>Region</t>
        </is>
      </c>
      <c r="D1" s="53" t="inlineStr">
        <is>
          <t>Product</t>
        </is>
      </c>
      <c r="E1" s="53" t="inlineStr">
        <is>
          <t>Category</t>
        </is>
      </c>
      <c r="F1" s="53" t="inlineStr">
        <is>
          <t>Quantity</t>
        </is>
      </c>
      <c r="G1" s="53" t="inlineStr">
        <is>
          <t>Unit Price</t>
        </is>
      </c>
      <c r="H1" s="53" t="inlineStr">
        <is>
          <t>Revenue</t>
        </is>
      </c>
      <c r="I1" s="53" t="inlineStr">
        <is>
          <t>Cost</t>
        </is>
      </c>
      <c r="J1" s="53" t="inlineStr">
        <is>
          <t>Profit</t>
        </is>
      </c>
      <c r="K1" s="53" t="inlineStr">
        <is>
          <t>Month</t>
        </is>
      </c>
      <c r="L1" s="53" t="inlineStr">
        <is>
          <t>Margin %</t>
        </is>
      </c>
      <c r="M1" s="53" t="inlineStr">
        <is>
          <t>Quarter</t>
        </is>
      </c>
      <c r="N1" s="53" t="inlineStr">
        <is>
          <t>Month No</t>
        </is>
      </c>
    </row>
    <row r="2">
      <c r="A2" s="54" t="inlineStr">
        <is>
          <t>ORD-1001</t>
        </is>
      </c>
      <c r="B2" s="55" t="n">
        <v>46023</v>
      </c>
      <c r="C2" s="54" t="inlineStr">
        <is>
          <t>Kano</t>
        </is>
      </c>
      <c r="D2" s="54" t="inlineStr">
        <is>
          <t>Headphones</t>
        </is>
      </c>
      <c r="E2" s="54" t="inlineStr">
        <is>
          <t>Accessories</t>
        </is>
      </c>
      <c r="F2" s="56" t="n">
        <v>5</v>
      </c>
      <c r="G2" s="57" t="n">
        <v>41581.1</v>
      </c>
      <c r="H2" s="57" t="n">
        <v>207905.48</v>
      </c>
      <c r="I2" s="57" t="n">
        <v>160405.73</v>
      </c>
      <c r="J2" s="57" t="n">
        <v>47499.74</v>
      </c>
      <c r="K2" s="54" t="inlineStr">
        <is>
          <t>Jan</t>
        </is>
      </c>
      <c r="L2" s="58">
        <f>IFERROR(J2/H2,0)</f>
        <v/>
      </c>
      <c r="M2" s="56">
        <f>"Q"&amp;ROUNDUP(MONTH(B2)/3,0)</f>
        <v/>
      </c>
      <c r="N2" s="56">
        <f>MONTH(B2)</f>
        <v/>
      </c>
    </row>
    <row r="3">
      <c r="A3" s="54" t="inlineStr">
        <is>
          <t>ORD-1002</t>
        </is>
      </c>
      <c r="B3" s="55" t="n">
        <v>46025</v>
      </c>
      <c r="C3" s="54" t="inlineStr">
        <is>
          <t>Kano</t>
        </is>
      </c>
      <c r="D3" s="54" t="inlineStr">
        <is>
          <t>Phone</t>
        </is>
      </c>
      <c r="E3" s="54" t="inlineStr">
        <is>
          <t>Mobile</t>
        </is>
      </c>
      <c r="F3" s="56" t="n">
        <v>3</v>
      </c>
      <c r="G3" s="57" t="n">
        <v>253118.31</v>
      </c>
      <c r="H3" s="57" t="n">
        <v>759354.9399999999</v>
      </c>
      <c r="I3" s="57" t="n">
        <v>532334.21</v>
      </c>
      <c r="J3" s="57" t="n">
        <v>227020.74</v>
      </c>
      <c r="K3" s="54" t="inlineStr">
        <is>
          <t>Jan</t>
        </is>
      </c>
      <c r="L3" s="58">
        <f>IFERROR(J3/H3,0)</f>
        <v/>
      </c>
      <c r="M3" s="56">
        <f>"Q"&amp;ROUNDUP(MONTH(B3)/3,0)</f>
        <v/>
      </c>
      <c r="N3" s="56">
        <f>MONTH(B3)</f>
        <v/>
      </c>
    </row>
    <row r="4">
      <c r="A4" s="54" t="inlineStr">
        <is>
          <t>ORD-1003</t>
        </is>
      </c>
      <c r="B4" s="55" t="n">
        <v>46027</v>
      </c>
      <c r="C4" s="54" t="inlineStr">
        <is>
          <t>Ibadan</t>
        </is>
      </c>
      <c r="D4" s="54" t="inlineStr">
        <is>
          <t>Headphones</t>
        </is>
      </c>
      <c r="E4" s="54" t="inlineStr">
        <is>
          <t>Accessories</t>
        </is>
      </c>
      <c r="F4" s="56" t="n">
        <v>3</v>
      </c>
      <c r="G4" s="57" t="n">
        <v>39822.31</v>
      </c>
      <c r="H4" s="57" t="n">
        <v>119466.94</v>
      </c>
      <c r="I4" s="57" t="n">
        <v>97172.03999999999</v>
      </c>
      <c r="J4" s="57" t="n">
        <v>22294.9</v>
      </c>
      <c r="K4" s="54" t="inlineStr">
        <is>
          <t>Jan</t>
        </is>
      </c>
      <c r="L4" s="58">
        <f>IFERROR(J4/H4,0)</f>
        <v/>
      </c>
      <c r="M4" s="56">
        <f>"Q"&amp;ROUNDUP(MONTH(B4)/3,0)</f>
        <v/>
      </c>
      <c r="N4" s="56">
        <f>MONTH(B4)</f>
        <v/>
      </c>
    </row>
    <row r="5">
      <c r="A5" s="54" t="inlineStr">
        <is>
          <t>ORD-1004</t>
        </is>
      </c>
      <c r="B5" s="55" t="n">
        <v>46029</v>
      </c>
      <c r="C5" s="54" t="inlineStr">
        <is>
          <t>Kano</t>
        </is>
      </c>
      <c r="D5" s="54" t="inlineStr">
        <is>
          <t>Phone</t>
        </is>
      </c>
      <c r="E5" s="54" t="inlineStr">
        <is>
          <t>Mobile</t>
        </is>
      </c>
      <c r="F5" s="56" t="n">
        <v>4</v>
      </c>
      <c r="G5" s="57" t="n">
        <v>258724.78</v>
      </c>
      <c r="H5" s="57" t="n">
        <v>1034899.13</v>
      </c>
      <c r="I5" s="57" t="n">
        <v>690208.6899999999</v>
      </c>
      <c r="J5" s="57" t="n">
        <v>344690.45</v>
      </c>
      <c r="K5" s="54" t="inlineStr">
        <is>
          <t>Jan</t>
        </is>
      </c>
      <c r="L5" s="58">
        <f>IFERROR(J5/H5,0)</f>
        <v/>
      </c>
      <c r="M5" s="56">
        <f>"Q"&amp;ROUNDUP(MONTH(B5)/3,0)</f>
        <v/>
      </c>
      <c r="N5" s="56">
        <f>MONTH(B5)</f>
        <v/>
      </c>
    </row>
    <row r="6">
      <c r="A6" s="54" t="inlineStr">
        <is>
          <t>ORD-1005</t>
        </is>
      </c>
      <c r="B6" s="55" t="n">
        <v>46032</v>
      </c>
      <c r="C6" s="54" t="inlineStr">
        <is>
          <t>Lagos</t>
        </is>
      </c>
      <c r="D6" s="54" t="inlineStr">
        <is>
          <t>Headphones</t>
        </is>
      </c>
      <c r="E6" s="54" t="inlineStr">
        <is>
          <t>Accessories</t>
        </is>
      </c>
      <c r="F6" s="56" t="n">
        <v>1</v>
      </c>
      <c r="G6" s="57" t="n">
        <v>42745.27</v>
      </c>
      <c r="H6" s="57" t="n">
        <v>42745.27</v>
      </c>
      <c r="I6" s="57" t="n">
        <v>31401.01</v>
      </c>
      <c r="J6" s="57" t="n">
        <v>11344.27</v>
      </c>
      <c r="K6" s="54" t="inlineStr">
        <is>
          <t>Jan</t>
        </is>
      </c>
      <c r="L6" s="58">
        <f>IFERROR(J6/H6,0)</f>
        <v/>
      </c>
      <c r="M6" s="56">
        <f>"Q"&amp;ROUNDUP(MONTH(B6)/3,0)</f>
        <v/>
      </c>
      <c r="N6" s="56">
        <f>MONTH(B6)</f>
        <v/>
      </c>
    </row>
    <row r="7">
      <c r="A7" s="54" t="inlineStr">
        <is>
          <t>ORD-1006</t>
        </is>
      </c>
      <c r="B7" s="55" t="n">
        <v>46034</v>
      </c>
      <c r="C7" s="54" t="inlineStr">
        <is>
          <t>Port Harcourt</t>
        </is>
      </c>
      <c r="D7" s="54" t="inlineStr">
        <is>
          <t>Headphones</t>
        </is>
      </c>
      <c r="E7" s="54" t="inlineStr">
        <is>
          <t>Accessories</t>
        </is>
      </c>
      <c r="F7" s="56" t="n">
        <v>4</v>
      </c>
      <c r="G7" s="57" t="n">
        <v>43556.71</v>
      </c>
      <c r="H7" s="57" t="n">
        <v>174226.83</v>
      </c>
      <c r="I7" s="57" t="n">
        <v>122017.22</v>
      </c>
      <c r="J7" s="57" t="n">
        <v>52209.61</v>
      </c>
      <c r="K7" s="54" t="inlineStr">
        <is>
          <t>Jan</t>
        </is>
      </c>
      <c r="L7" s="58">
        <f>IFERROR(J7/H7,0)</f>
        <v/>
      </c>
      <c r="M7" s="56">
        <f>"Q"&amp;ROUNDUP(MONTH(B7)/3,0)</f>
        <v/>
      </c>
      <c r="N7" s="56">
        <f>MONTH(B7)</f>
        <v/>
      </c>
    </row>
    <row r="8">
      <c r="A8" s="54" t="inlineStr">
        <is>
          <t>ORD-1007</t>
        </is>
      </c>
      <c r="B8" s="55" t="n">
        <v>46036</v>
      </c>
      <c r="C8" s="54" t="inlineStr">
        <is>
          <t>Port Harcourt</t>
        </is>
      </c>
      <c r="D8" s="54" t="inlineStr">
        <is>
          <t>Headphones</t>
        </is>
      </c>
      <c r="E8" s="54" t="inlineStr">
        <is>
          <t>Accessories</t>
        </is>
      </c>
      <c r="F8" s="56" t="n">
        <v>4</v>
      </c>
      <c r="G8" s="57" t="n">
        <v>45998.08</v>
      </c>
      <c r="H8" s="57" t="n">
        <v>183992.31</v>
      </c>
      <c r="I8" s="57" t="n">
        <v>112275.62</v>
      </c>
      <c r="J8" s="57" t="n">
        <v>71716.69</v>
      </c>
      <c r="K8" s="54" t="inlineStr">
        <is>
          <t>Jan</t>
        </is>
      </c>
      <c r="L8" s="58">
        <f>IFERROR(J8/H8,0)</f>
        <v/>
      </c>
      <c r="M8" s="56">
        <f>"Q"&amp;ROUNDUP(MONTH(B8)/3,0)</f>
        <v/>
      </c>
      <c r="N8" s="56">
        <f>MONTH(B8)</f>
        <v/>
      </c>
    </row>
    <row r="9">
      <c r="A9" s="54" t="inlineStr">
        <is>
          <t>ORD-1008</t>
        </is>
      </c>
      <c r="B9" s="55" t="n">
        <v>46039</v>
      </c>
      <c r="C9" s="54" t="inlineStr">
        <is>
          <t>Ibadan</t>
        </is>
      </c>
      <c r="D9" s="54" t="inlineStr">
        <is>
          <t>Smartwatch</t>
        </is>
      </c>
      <c r="E9" s="54" t="inlineStr">
        <is>
          <t>Wearables</t>
        </is>
      </c>
      <c r="F9" s="56" t="n">
        <v>1</v>
      </c>
      <c r="G9" s="57" t="n">
        <v>76127.05</v>
      </c>
      <c r="H9" s="57" t="n">
        <v>76127.05</v>
      </c>
      <c r="I9" s="57" t="n">
        <v>61568.12</v>
      </c>
      <c r="J9" s="57" t="n">
        <v>14558.93</v>
      </c>
      <c r="K9" s="54" t="inlineStr">
        <is>
          <t>Jan</t>
        </is>
      </c>
      <c r="L9" s="58">
        <f>IFERROR(J9/H9,0)</f>
        <v/>
      </c>
      <c r="M9" s="56">
        <f>"Q"&amp;ROUNDUP(MONTH(B9)/3,0)</f>
        <v/>
      </c>
      <c r="N9" s="56">
        <f>MONTH(B9)</f>
        <v/>
      </c>
    </row>
    <row r="10">
      <c r="A10" s="54" t="inlineStr">
        <is>
          <t>ORD-1009</t>
        </is>
      </c>
      <c r="B10" s="55" t="n">
        <v>46041</v>
      </c>
      <c r="C10" s="54" t="inlineStr">
        <is>
          <t>Ibadan</t>
        </is>
      </c>
      <c r="D10" s="54" t="inlineStr">
        <is>
          <t>Phone</t>
        </is>
      </c>
      <c r="E10" s="54" t="inlineStr">
        <is>
          <t>Mobile</t>
        </is>
      </c>
      <c r="F10" s="56" t="n">
        <v>2</v>
      </c>
      <c r="G10" s="57" t="n">
        <v>266870.05</v>
      </c>
      <c r="H10" s="57" t="n">
        <v>533740.09</v>
      </c>
      <c r="I10" s="57" t="n">
        <v>331712.99</v>
      </c>
      <c r="J10" s="57" t="n">
        <v>202027.1</v>
      </c>
      <c r="K10" s="54" t="inlineStr">
        <is>
          <t>Jan</t>
        </is>
      </c>
      <c r="L10" s="58">
        <f>IFERROR(J10/H10,0)</f>
        <v/>
      </c>
      <c r="M10" s="56">
        <f>"Q"&amp;ROUNDUP(MONTH(B10)/3,0)</f>
        <v/>
      </c>
      <c r="N10" s="56">
        <f>MONTH(B10)</f>
        <v/>
      </c>
    </row>
    <row r="11">
      <c r="A11" s="54" t="inlineStr">
        <is>
          <t>ORD-1010</t>
        </is>
      </c>
      <c r="B11" s="55" t="n">
        <v>46043</v>
      </c>
      <c r="C11" s="54" t="inlineStr">
        <is>
          <t>Port Harcourt</t>
        </is>
      </c>
      <c r="D11" s="54" t="inlineStr">
        <is>
          <t>Headphones</t>
        </is>
      </c>
      <c r="E11" s="54" t="inlineStr">
        <is>
          <t>Accessories</t>
        </is>
      </c>
      <c r="F11" s="56" t="n">
        <v>4</v>
      </c>
      <c r="G11" s="57" t="n">
        <v>40918.01</v>
      </c>
      <c r="H11" s="57" t="n">
        <v>163672.05</v>
      </c>
      <c r="I11" s="57" t="n">
        <v>116033.49</v>
      </c>
      <c r="J11" s="57" t="n">
        <v>47638.56</v>
      </c>
      <c r="K11" s="54" t="inlineStr">
        <is>
          <t>Jan</t>
        </is>
      </c>
      <c r="L11" s="58">
        <f>IFERROR(J11/H11,0)</f>
        <v/>
      </c>
      <c r="M11" s="56">
        <f>"Q"&amp;ROUNDUP(MONTH(B11)/3,0)</f>
        <v/>
      </c>
      <c r="N11" s="56">
        <f>MONTH(B11)</f>
        <v/>
      </c>
    </row>
    <row r="12">
      <c r="A12" s="54" t="inlineStr">
        <is>
          <t>ORD-1011</t>
        </is>
      </c>
      <c r="B12" s="55" t="n">
        <v>46045</v>
      </c>
      <c r="C12" s="54" t="inlineStr">
        <is>
          <t>Lagos</t>
        </is>
      </c>
      <c r="D12" s="54" t="inlineStr">
        <is>
          <t>Laptop</t>
        </is>
      </c>
      <c r="E12" s="54" t="inlineStr">
        <is>
          <t>Computing</t>
        </is>
      </c>
      <c r="F12" s="56" t="n">
        <v>4</v>
      </c>
      <c r="G12" s="57" t="n">
        <v>480343.06</v>
      </c>
      <c r="H12" s="57" t="n">
        <v>1921372.26</v>
      </c>
      <c r="I12" s="57" t="n">
        <v>1472116.05</v>
      </c>
      <c r="J12" s="57" t="n">
        <v>449256.2</v>
      </c>
      <c r="K12" s="54" t="inlineStr">
        <is>
          <t>Jan</t>
        </is>
      </c>
      <c r="L12" s="58">
        <f>IFERROR(J12/H12,0)</f>
        <v/>
      </c>
      <c r="M12" s="56">
        <f>"Q"&amp;ROUNDUP(MONTH(B12)/3,0)</f>
        <v/>
      </c>
      <c r="N12" s="56">
        <f>MONTH(B12)</f>
        <v/>
      </c>
    </row>
    <row r="13">
      <c r="A13" s="54" t="inlineStr">
        <is>
          <t>ORD-1012</t>
        </is>
      </c>
      <c r="B13" s="55" t="n">
        <v>46048</v>
      </c>
      <c r="C13" s="54" t="inlineStr">
        <is>
          <t>Ibadan</t>
        </is>
      </c>
      <c r="D13" s="54" t="inlineStr">
        <is>
          <t>Headphones</t>
        </is>
      </c>
      <c r="E13" s="54" t="inlineStr">
        <is>
          <t>Accessories</t>
        </is>
      </c>
      <c r="F13" s="56" t="n">
        <v>6</v>
      </c>
      <c r="G13" s="57" t="n">
        <v>39938.18</v>
      </c>
      <c r="H13" s="57" t="n">
        <v>239629.1</v>
      </c>
      <c r="I13" s="57" t="n">
        <v>188181.37</v>
      </c>
      <c r="J13" s="57" t="n">
        <v>51447.73</v>
      </c>
      <c r="K13" s="54" t="inlineStr">
        <is>
          <t>Jan</t>
        </is>
      </c>
      <c r="L13" s="58">
        <f>IFERROR(J13/H13,0)</f>
        <v/>
      </c>
      <c r="M13" s="56">
        <f>"Q"&amp;ROUNDUP(MONTH(B13)/3,0)</f>
        <v/>
      </c>
      <c r="N13" s="56">
        <f>MONTH(B13)</f>
        <v/>
      </c>
    </row>
    <row r="14">
      <c r="A14" s="54" t="inlineStr">
        <is>
          <t>ORD-1013</t>
        </is>
      </c>
      <c r="B14" s="55" t="n">
        <v>46050</v>
      </c>
      <c r="C14" s="54" t="inlineStr">
        <is>
          <t>Ibadan</t>
        </is>
      </c>
      <c r="D14" s="54" t="inlineStr">
        <is>
          <t>Phone</t>
        </is>
      </c>
      <c r="E14" s="54" t="inlineStr">
        <is>
          <t>Mobile</t>
        </is>
      </c>
      <c r="F14" s="56" t="n">
        <v>2</v>
      </c>
      <c r="G14" s="57" t="n">
        <v>306532.4</v>
      </c>
      <c r="H14" s="57" t="n">
        <v>613064.8</v>
      </c>
      <c r="I14" s="57" t="n">
        <v>448480.19</v>
      </c>
      <c r="J14" s="57" t="n">
        <v>164584.6</v>
      </c>
      <c r="K14" s="54" t="inlineStr">
        <is>
          <t>Jan</t>
        </is>
      </c>
      <c r="L14" s="58">
        <f>IFERROR(J14/H14,0)</f>
        <v/>
      </c>
      <c r="M14" s="56">
        <f>"Q"&amp;ROUNDUP(MONTH(B14)/3,0)</f>
        <v/>
      </c>
      <c r="N14" s="56">
        <f>MONTH(B14)</f>
        <v/>
      </c>
    </row>
    <row r="15">
      <c r="A15" s="54" t="inlineStr">
        <is>
          <t>ORD-1014</t>
        </is>
      </c>
      <c r="B15" s="55" t="n">
        <v>46052</v>
      </c>
      <c r="C15" s="54" t="inlineStr">
        <is>
          <t>Lagos</t>
        </is>
      </c>
      <c r="D15" s="54" t="inlineStr">
        <is>
          <t>Laptop</t>
        </is>
      </c>
      <c r="E15" s="54" t="inlineStr">
        <is>
          <t>Computing</t>
        </is>
      </c>
      <c r="F15" s="56" t="n">
        <v>6</v>
      </c>
      <c r="G15" s="57" t="n">
        <v>498201.23</v>
      </c>
      <c r="H15" s="57" t="n">
        <v>2989207.35</v>
      </c>
      <c r="I15" s="57" t="n">
        <v>2049128.55</v>
      </c>
      <c r="J15" s="57" t="n">
        <v>940078.8</v>
      </c>
      <c r="K15" s="54" t="inlineStr">
        <is>
          <t>Jan</t>
        </is>
      </c>
      <c r="L15" s="58">
        <f>IFERROR(J15/H15,0)</f>
        <v/>
      </c>
      <c r="M15" s="56">
        <f>"Q"&amp;ROUNDUP(MONTH(B15)/3,0)</f>
        <v/>
      </c>
      <c r="N15" s="56">
        <f>MONTH(B15)</f>
        <v/>
      </c>
    </row>
    <row r="16">
      <c r="A16" s="54" t="inlineStr">
        <is>
          <t>ORD-1015</t>
        </is>
      </c>
      <c r="B16" s="55" t="n">
        <v>46055</v>
      </c>
      <c r="C16" s="54" t="inlineStr">
        <is>
          <t>Kano</t>
        </is>
      </c>
      <c r="D16" s="54" t="inlineStr">
        <is>
          <t>Smartwatch</t>
        </is>
      </c>
      <c r="E16" s="54" t="inlineStr">
        <is>
          <t>Wearables</t>
        </is>
      </c>
      <c r="F16" s="56" t="n">
        <v>2</v>
      </c>
      <c r="G16" s="57" t="n">
        <v>94491.21000000001</v>
      </c>
      <c r="H16" s="57" t="n">
        <v>188982.42</v>
      </c>
      <c r="I16" s="57" t="n">
        <v>138627.59</v>
      </c>
      <c r="J16" s="57" t="n">
        <v>50354.83</v>
      </c>
      <c r="K16" s="54" t="inlineStr">
        <is>
          <t>Feb</t>
        </is>
      </c>
      <c r="L16" s="58">
        <f>IFERROR(J16/H16,0)</f>
        <v/>
      </c>
      <c r="M16" s="56">
        <f>"Q"&amp;ROUNDUP(MONTH(B16)/3,0)</f>
        <v/>
      </c>
      <c r="N16" s="56">
        <f>MONTH(B16)</f>
        <v/>
      </c>
    </row>
    <row r="17">
      <c r="A17" s="54" t="inlineStr">
        <is>
          <t>ORD-1016</t>
        </is>
      </c>
      <c r="B17" s="55" t="n">
        <v>46057</v>
      </c>
      <c r="C17" s="54" t="inlineStr">
        <is>
          <t>Abuja</t>
        </is>
      </c>
      <c r="D17" s="54" t="inlineStr">
        <is>
          <t>Laptop</t>
        </is>
      </c>
      <c r="E17" s="54" t="inlineStr">
        <is>
          <t>Computing</t>
        </is>
      </c>
      <c r="F17" s="56" t="n">
        <v>5</v>
      </c>
      <c r="G17" s="57" t="n">
        <v>557714.1800000001</v>
      </c>
      <c r="H17" s="57" t="n">
        <v>2788570.92</v>
      </c>
      <c r="I17" s="57" t="n">
        <v>1718878.3</v>
      </c>
      <c r="J17" s="57" t="n">
        <v>1069692.62</v>
      </c>
      <c r="K17" s="54" t="inlineStr">
        <is>
          <t>Feb</t>
        </is>
      </c>
      <c r="L17" s="58">
        <f>IFERROR(J17/H17,0)</f>
        <v/>
      </c>
      <c r="M17" s="56">
        <f>"Q"&amp;ROUNDUP(MONTH(B17)/3,0)</f>
        <v/>
      </c>
      <c r="N17" s="56">
        <f>MONTH(B17)</f>
        <v/>
      </c>
    </row>
    <row r="18">
      <c r="A18" s="54" t="inlineStr">
        <is>
          <t>ORD-1017</t>
        </is>
      </c>
      <c r="B18" s="55" t="n">
        <v>46059</v>
      </c>
      <c r="C18" s="54" t="inlineStr">
        <is>
          <t>Port Harcourt</t>
        </is>
      </c>
      <c r="D18" s="54" t="inlineStr">
        <is>
          <t>Laptop</t>
        </is>
      </c>
      <c r="E18" s="54" t="inlineStr">
        <is>
          <t>Computing</t>
        </is>
      </c>
      <c r="F18" s="56" t="n">
        <v>4</v>
      </c>
      <c r="G18" s="57" t="n">
        <v>494227.32</v>
      </c>
      <c r="H18" s="57" t="n">
        <v>1976909.3</v>
      </c>
      <c r="I18" s="57" t="n">
        <v>1192269.18</v>
      </c>
      <c r="J18" s="57" t="n">
        <v>784640.12</v>
      </c>
      <c r="K18" s="54" t="inlineStr">
        <is>
          <t>Feb</t>
        </is>
      </c>
      <c r="L18" s="58">
        <f>IFERROR(J18/H18,0)</f>
        <v/>
      </c>
      <c r="M18" s="56">
        <f>"Q"&amp;ROUNDUP(MONTH(B18)/3,0)</f>
        <v/>
      </c>
      <c r="N18" s="56">
        <f>MONTH(B18)</f>
        <v/>
      </c>
    </row>
    <row r="19">
      <c r="A19" s="54" t="inlineStr">
        <is>
          <t>ORD-1018</t>
        </is>
      </c>
      <c r="B19" s="55" t="n">
        <v>46061</v>
      </c>
      <c r="C19" s="54" t="inlineStr">
        <is>
          <t>Lagos</t>
        </is>
      </c>
      <c r="D19" s="54" t="inlineStr">
        <is>
          <t>Laptop</t>
        </is>
      </c>
      <c r="E19" s="54" t="inlineStr">
        <is>
          <t>Computing</t>
        </is>
      </c>
      <c r="F19" s="56" t="n">
        <v>3</v>
      </c>
      <c r="G19" s="57" t="n">
        <v>556213.91</v>
      </c>
      <c r="H19" s="57" t="n">
        <v>1668641.72</v>
      </c>
      <c r="I19" s="57" t="n">
        <v>1223633.65</v>
      </c>
      <c r="J19" s="57" t="n">
        <v>445008.07</v>
      </c>
      <c r="K19" s="54" t="inlineStr">
        <is>
          <t>Feb</t>
        </is>
      </c>
      <c r="L19" s="58">
        <f>IFERROR(J19/H19,0)</f>
        <v/>
      </c>
      <c r="M19" s="56">
        <f>"Q"&amp;ROUNDUP(MONTH(B19)/3,0)</f>
        <v/>
      </c>
      <c r="N19" s="56">
        <f>MONTH(B19)</f>
        <v/>
      </c>
    </row>
    <row r="20">
      <c r="A20" s="54" t="inlineStr">
        <is>
          <t>ORD-1019</t>
        </is>
      </c>
      <c r="B20" s="55" t="n">
        <v>46064</v>
      </c>
      <c r="C20" s="54" t="inlineStr">
        <is>
          <t>Ibadan</t>
        </is>
      </c>
      <c r="D20" s="54" t="inlineStr">
        <is>
          <t>Phone</t>
        </is>
      </c>
      <c r="E20" s="54" t="inlineStr">
        <is>
          <t>Mobile</t>
        </is>
      </c>
      <c r="F20" s="56" t="n">
        <v>1</v>
      </c>
      <c r="G20" s="57" t="n">
        <v>307885.29</v>
      </c>
      <c r="H20" s="57" t="n">
        <v>307885.29</v>
      </c>
      <c r="I20" s="57" t="n">
        <v>242308.34</v>
      </c>
      <c r="J20" s="57" t="n">
        <v>65576.95</v>
      </c>
      <c r="K20" s="54" t="inlineStr">
        <is>
          <t>Feb</t>
        </is>
      </c>
      <c r="L20" s="58">
        <f>IFERROR(J20/H20,0)</f>
        <v/>
      </c>
      <c r="M20" s="56">
        <f>"Q"&amp;ROUNDUP(MONTH(B20)/3,0)</f>
        <v/>
      </c>
      <c r="N20" s="56">
        <f>MONTH(B20)</f>
        <v/>
      </c>
    </row>
    <row r="21">
      <c r="A21" s="54" t="inlineStr">
        <is>
          <t>ORD-1020</t>
        </is>
      </c>
      <c r="B21" s="55" t="n">
        <v>46066</v>
      </c>
      <c r="C21" s="54" t="inlineStr">
        <is>
          <t>Kano</t>
        </is>
      </c>
      <c r="D21" s="54" t="inlineStr">
        <is>
          <t>Phone</t>
        </is>
      </c>
      <c r="E21" s="54" t="inlineStr">
        <is>
          <t>Mobile</t>
        </is>
      </c>
      <c r="F21" s="56" t="n">
        <v>1</v>
      </c>
      <c r="G21" s="57" t="n">
        <v>250671.12</v>
      </c>
      <c r="H21" s="57" t="n">
        <v>250671.12</v>
      </c>
      <c r="I21" s="57" t="n">
        <v>167552.62</v>
      </c>
      <c r="J21" s="57" t="n">
        <v>83118.50999999999</v>
      </c>
      <c r="K21" s="54" t="inlineStr">
        <is>
          <t>Feb</t>
        </is>
      </c>
      <c r="L21" s="58">
        <f>IFERROR(J21/H21,0)</f>
        <v/>
      </c>
      <c r="M21" s="56">
        <f>"Q"&amp;ROUNDUP(MONTH(B21)/3,0)</f>
        <v/>
      </c>
      <c r="N21" s="56">
        <f>MONTH(B21)</f>
        <v/>
      </c>
    </row>
    <row r="22">
      <c r="A22" s="54" t="inlineStr">
        <is>
          <t>ORD-1021</t>
        </is>
      </c>
      <c r="B22" s="55" t="n">
        <v>46068</v>
      </c>
      <c r="C22" s="54" t="inlineStr">
        <is>
          <t>Abuja</t>
        </is>
      </c>
      <c r="D22" s="54" t="inlineStr">
        <is>
          <t>Tablet</t>
        </is>
      </c>
      <c r="E22" s="54" t="inlineStr">
        <is>
          <t>Mobile</t>
        </is>
      </c>
      <c r="F22" s="56" t="n">
        <v>4</v>
      </c>
      <c r="G22" s="57" t="n">
        <v>196272.62</v>
      </c>
      <c r="H22" s="57" t="n">
        <v>785090.48</v>
      </c>
      <c r="I22" s="57" t="n">
        <v>624293.59</v>
      </c>
      <c r="J22" s="57" t="n">
        <v>160796.89</v>
      </c>
      <c r="K22" s="54" t="inlineStr">
        <is>
          <t>Feb</t>
        </is>
      </c>
      <c r="L22" s="58">
        <f>IFERROR(J22/H22,0)</f>
        <v/>
      </c>
      <c r="M22" s="56">
        <f>"Q"&amp;ROUNDUP(MONTH(B22)/3,0)</f>
        <v/>
      </c>
      <c r="N22" s="56">
        <f>MONTH(B22)</f>
        <v/>
      </c>
    </row>
    <row r="23">
      <c r="A23" s="54" t="inlineStr">
        <is>
          <t>ORD-1022</t>
        </is>
      </c>
      <c r="B23" s="55" t="n">
        <v>46071</v>
      </c>
      <c r="C23" s="54" t="inlineStr">
        <is>
          <t>Kano</t>
        </is>
      </c>
      <c r="D23" s="54" t="inlineStr">
        <is>
          <t>Tablet</t>
        </is>
      </c>
      <c r="E23" s="54" t="inlineStr">
        <is>
          <t>Mobile</t>
        </is>
      </c>
      <c r="F23" s="56" t="n">
        <v>5</v>
      </c>
      <c r="G23" s="57" t="n">
        <v>211510.07</v>
      </c>
      <c r="H23" s="57" t="n">
        <v>1057550.36</v>
      </c>
      <c r="I23" s="57" t="n">
        <v>832039.42</v>
      </c>
      <c r="J23" s="57" t="n">
        <v>225510.94</v>
      </c>
      <c r="K23" s="54" t="inlineStr">
        <is>
          <t>Feb</t>
        </is>
      </c>
      <c r="L23" s="58">
        <f>IFERROR(J23/H23,0)</f>
        <v/>
      </c>
      <c r="M23" s="56">
        <f>"Q"&amp;ROUNDUP(MONTH(B23)/3,0)</f>
        <v/>
      </c>
      <c r="N23" s="56">
        <f>MONTH(B23)</f>
        <v/>
      </c>
    </row>
    <row r="24">
      <c r="A24" s="54" t="inlineStr">
        <is>
          <t>ORD-1023</t>
        </is>
      </c>
      <c r="B24" s="55" t="n">
        <v>46073</v>
      </c>
      <c r="C24" s="54" t="inlineStr">
        <is>
          <t>Lagos</t>
        </is>
      </c>
      <c r="D24" s="54" t="inlineStr">
        <is>
          <t>Phone</t>
        </is>
      </c>
      <c r="E24" s="54" t="inlineStr">
        <is>
          <t>Mobile</t>
        </is>
      </c>
      <c r="F24" s="56" t="n">
        <v>6</v>
      </c>
      <c r="G24" s="57" t="n">
        <v>279583.06</v>
      </c>
      <c r="H24" s="57" t="n">
        <v>1677498.38</v>
      </c>
      <c r="I24" s="57" t="n">
        <v>1199413.4</v>
      </c>
      <c r="J24" s="57" t="n">
        <v>478084.99</v>
      </c>
      <c r="K24" s="54" t="inlineStr">
        <is>
          <t>Feb</t>
        </is>
      </c>
      <c r="L24" s="58">
        <f>IFERROR(J24/H24,0)</f>
        <v/>
      </c>
      <c r="M24" s="56">
        <f>"Q"&amp;ROUNDUP(MONTH(B24)/3,0)</f>
        <v/>
      </c>
      <c r="N24" s="56">
        <f>MONTH(B24)</f>
        <v/>
      </c>
    </row>
    <row r="25">
      <c r="A25" s="54" t="inlineStr">
        <is>
          <t>ORD-1024</t>
        </is>
      </c>
      <c r="B25" s="55" t="n">
        <v>46075</v>
      </c>
      <c r="C25" s="54" t="inlineStr">
        <is>
          <t>Abuja</t>
        </is>
      </c>
      <c r="D25" s="54" t="inlineStr">
        <is>
          <t>Phone</t>
        </is>
      </c>
      <c r="E25" s="54" t="inlineStr">
        <is>
          <t>Mobile</t>
        </is>
      </c>
      <c r="F25" s="56" t="n">
        <v>4</v>
      </c>
      <c r="G25" s="57" t="n">
        <v>253650.3</v>
      </c>
      <c r="H25" s="57" t="n">
        <v>1014601.22</v>
      </c>
      <c r="I25" s="57" t="n">
        <v>615776.11</v>
      </c>
      <c r="J25" s="57" t="n">
        <v>398825.11</v>
      </c>
      <c r="K25" s="54" t="inlineStr">
        <is>
          <t>Feb</t>
        </is>
      </c>
      <c r="L25" s="58">
        <f>IFERROR(J25/H25,0)</f>
        <v/>
      </c>
      <c r="M25" s="56">
        <f>"Q"&amp;ROUNDUP(MONTH(B25)/3,0)</f>
        <v/>
      </c>
      <c r="N25" s="56">
        <f>MONTH(B25)</f>
        <v/>
      </c>
    </row>
    <row r="26">
      <c r="A26" s="54" t="inlineStr">
        <is>
          <t>ORD-1025</t>
        </is>
      </c>
      <c r="B26" s="55" t="n">
        <v>46077</v>
      </c>
      <c r="C26" s="54" t="inlineStr">
        <is>
          <t>Kano</t>
        </is>
      </c>
      <c r="D26" s="54" t="inlineStr">
        <is>
          <t>Headphones</t>
        </is>
      </c>
      <c r="E26" s="54" t="inlineStr">
        <is>
          <t>Accessories</t>
        </is>
      </c>
      <c r="F26" s="56" t="n">
        <v>5</v>
      </c>
      <c r="G26" s="57" t="n">
        <v>45092.56</v>
      </c>
      <c r="H26" s="57" t="n">
        <v>225462.82</v>
      </c>
      <c r="I26" s="57" t="n">
        <v>180294.64</v>
      </c>
      <c r="J26" s="57" t="n">
        <v>45168.18</v>
      </c>
      <c r="K26" s="54" t="inlineStr">
        <is>
          <t>Feb</t>
        </is>
      </c>
      <c r="L26" s="58">
        <f>IFERROR(J26/H26,0)</f>
        <v/>
      </c>
      <c r="M26" s="56">
        <f>"Q"&amp;ROUNDUP(MONTH(B26)/3,0)</f>
        <v/>
      </c>
      <c r="N26" s="56">
        <f>MONTH(B26)</f>
        <v/>
      </c>
    </row>
    <row r="27">
      <c r="A27" s="54" t="inlineStr">
        <is>
          <t>ORD-1026</t>
        </is>
      </c>
      <c r="B27" s="55" t="n">
        <v>46080</v>
      </c>
      <c r="C27" s="54" t="inlineStr">
        <is>
          <t>Port Harcourt</t>
        </is>
      </c>
      <c r="D27" s="54" t="inlineStr">
        <is>
          <t>Tablet</t>
        </is>
      </c>
      <c r="E27" s="54" t="inlineStr">
        <is>
          <t>Mobile</t>
        </is>
      </c>
      <c r="F27" s="56" t="n">
        <v>5</v>
      </c>
      <c r="G27" s="57" t="n">
        <v>177633.2</v>
      </c>
      <c r="H27" s="57" t="n">
        <v>888165.98</v>
      </c>
      <c r="I27" s="57" t="n">
        <v>547941.2</v>
      </c>
      <c r="J27" s="57" t="n">
        <v>340224.79</v>
      </c>
      <c r="K27" s="54" t="inlineStr">
        <is>
          <t>Feb</t>
        </is>
      </c>
      <c r="L27" s="58">
        <f>IFERROR(J27/H27,0)</f>
        <v/>
      </c>
      <c r="M27" s="56">
        <f>"Q"&amp;ROUNDUP(MONTH(B27)/3,0)</f>
        <v/>
      </c>
      <c r="N27" s="56">
        <f>MONTH(B27)</f>
        <v/>
      </c>
    </row>
    <row r="28">
      <c r="A28" s="54" t="inlineStr">
        <is>
          <t>ORD-1027</t>
        </is>
      </c>
      <c r="B28" s="55" t="n">
        <v>46082</v>
      </c>
      <c r="C28" s="54" t="inlineStr">
        <is>
          <t>Abuja</t>
        </is>
      </c>
      <c r="D28" s="54" t="inlineStr">
        <is>
          <t>Tablet</t>
        </is>
      </c>
      <c r="E28" s="54" t="inlineStr">
        <is>
          <t>Mobile</t>
        </is>
      </c>
      <c r="F28" s="56" t="n">
        <v>6</v>
      </c>
      <c r="G28" s="57" t="n">
        <v>207349.33</v>
      </c>
      <c r="H28" s="57" t="n">
        <v>1244096</v>
      </c>
      <c r="I28" s="57" t="n">
        <v>917344</v>
      </c>
      <c r="J28" s="57" t="n">
        <v>326752</v>
      </c>
      <c r="K28" s="54" t="inlineStr">
        <is>
          <t>Mar</t>
        </is>
      </c>
      <c r="L28" s="58">
        <f>IFERROR(J28/H28,0)</f>
        <v/>
      </c>
      <c r="M28" s="56">
        <f>"Q"&amp;ROUNDUP(MONTH(B28)/3,0)</f>
        <v/>
      </c>
      <c r="N28" s="56">
        <f>MONTH(B28)</f>
        <v/>
      </c>
    </row>
    <row r="29">
      <c r="A29" s="54" t="inlineStr">
        <is>
          <t>ORD-1028</t>
        </is>
      </c>
      <c r="B29" s="55" t="n">
        <v>46084</v>
      </c>
      <c r="C29" s="54" t="inlineStr">
        <is>
          <t>Ibadan</t>
        </is>
      </c>
      <c r="D29" s="54" t="inlineStr">
        <is>
          <t>Smartwatch</t>
        </is>
      </c>
      <c r="E29" s="54" t="inlineStr">
        <is>
          <t>Wearables</t>
        </is>
      </c>
      <c r="F29" s="56" t="n">
        <v>6</v>
      </c>
      <c r="G29" s="57" t="n">
        <v>84113.31</v>
      </c>
      <c r="H29" s="57" t="n">
        <v>504679.83</v>
      </c>
      <c r="I29" s="57" t="n">
        <v>327061.25</v>
      </c>
      <c r="J29" s="57" t="n">
        <v>177618.59</v>
      </c>
      <c r="K29" s="54" t="inlineStr">
        <is>
          <t>Mar</t>
        </is>
      </c>
      <c r="L29" s="58">
        <f>IFERROR(J29/H29,0)</f>
        <v/>
      </c>
      <c r="M29" s="56">
        <f>"Q"&amp;ROUNDUP(MONTH(B29)/3,0)</f>
        <v/>
      </c>
      <c r="N29" s="56">
        <f>MONTH(B29)</f>
        <v/>
      </c>
    </row>
    <row r="30">
      <c r="A30" s="54" t="inlineStr">
        <is>
          <t>ORD-1029</t>
        </is>
      </c>
      <c r="B30" s="55" t="n">
        <v>46087</v>
      </c>
      <c r="C30" s="54" t="inlineStr">
        <is>
          <t>Abuja</t>
        </is>
      </c>
      <c r="D30" s="54" t="inlineStr">
        <is>
          <t>Tablet</t>
        </is>
      </c>
      <c r="E30" s="54" t="inlineStr">
        <is>
          <t>Mobile</t>
        </is>
      </c>
      <c r="F30" s="56" t="n">
        <v>2</v>
      </c>
      <c r="G30" s="57" t="n">
        <v>172767.21</v>
      </c>
      <c r="H30" s="57" t="n">
        <v>345534.42</v>
      </c>
      <c r="I30" s="57" t="n">
        <v>234405.55</v>
      </c>
      <c r="J30" s="57" t="n">
        <v>111128.87</v>
      </c>
      <c r="K30" s="54" t="inlineStr">
        <is>
          <t>Mar</t>
        </is>
      </c>
      <c r="L30" s="58">
        <f>IFERROR(J30/H30,0)</f>
        <v/>
      </c>
      <c r="M30" s="56">
        <f>"Q"&amp;ROUNDUP(MONTH(B30)/3,0)</f>
        <v/>
      </c>
      <c r="N30" s="56">
        <f>MONTH(B30)</f>
        <v/>
      </c>
    </row>
    <row r="31">
      <c r="A31" s="54" t="inlineStr">
        <is>
          <t>ORD-1030</t>
        </is>
      </c>
      <c r="B31" s="55" t="n">
        <v>46089</v>
      </c>
      <c r="C31" s="54" t="inlineStr">
        <is>
          <t>Kano</t>
        </is>
      </c>
      <c r="D31" s="54" t="inlineStr">
        <is>
          <t>Laptop</t>
        </is>
      </c>
      <c r="E31" s="54" t="inlineStr">
        <is>
          <t>Computing</t>
        </is>
      </c>
      <c r="F31" s="56" t="n">
        <v>1</v>
      </c>
      <c r="G31" s="57" t="n">
        <v>538431.73</v>
      </c>
      <c r="H31" s="57" t="n">
        <v>538431.73</v>
      </c>
      <c r="I31" s="57" t="n">
        <v>323120.68</v>
      </c>
      <c r="J31" s="57" t="n">
        <v>215311.05</v>
      </c>
      <c r="K31" s="54" t="inlineStr">
        <is>
          <t>Mar</t>
        </is>
      </c>
      <c r="L31" s="58">
        <f>IFERROR(J31/H31,0)</f>
        <v/>
      </c>
      <c r="M31" s="56">
        <f>"Q"&amp;ROUNDUP(MONTH(B31)/3,0)</f>
        <v/>
      </c>
      <c r="N31" s="56">
        <f>MONTH(B31)</f>
        <v/>
      </c>
    </row>
    <row r="32">
      <c r="A32" s="54" t="inlineStr">
        <is>
          <t>ORD-1031</t>
        </is>
      </c>
      <c r="B32" s="55" t="n">
        <v>46091</v>
      </c>
      <c r="C32" s="54" t="inlineStr">
        <is>
          <t>Abuja</t>
        </is>
      </c>
      <c r="D32" s="54" t="inlineStr">
        <is>
          <t>Laptop</t>
        </is>
      </c>
      <c r="E32" s="54" t="inlineStr">
        <is>
          <t>Computing</t>
        </is>
      </c>
      <c r="F32" s="56" t="n">
        <v>3</v>
      </c>
      <c r="G32" s="57" t="n">
        <v>458467.63</v>
      </c>
      <c r="H32" s="57" t="n">
        <v>1375402.88</v>
      </c>
      <c r="I32" s="57" t="n">
        <v>979788.05</v>
      </c>
      <c r="J32" s="57" t="n">
        <v>395614.82</v>
      </c>
      <c r="K32" s="54" t="inlineStr">
        <is>
          <t>Mar</t>
        </is>
      </c>
      <c r="L32" s="58">
        <f>IFERROR(J32/H32,0)</f>
        <v/>
      </c>
      <c r="M32" s="56">
        <f>"Q"&amp;ROUNDUP(MONTH(B32)/3,0)</f>
        <v/>
      </c>
      <c r="N32" s="56">
        <f>MONTH(B32)</f>
        <v/>
      </c>
    </row>
    <row r="33">
      <c r="A33" s="54" t="inlineStr">
        <is>
          <t>ORD-1032</t>
        </is>
      </c>
      <c r="B33" s="55" t="n">
        <v>46093</v>
      </c>
      <c r="C33" s="54" t="inlineStr">
        <is>
          <t>Port Harcourt</t>
        </is>
      </c>
      <c r="D33" s="54" t="inlineStr">
        <is>
          <t>Smartwatch</t>
        </is>
      </c>
      <c r="E33" s="54" t="inlineStr">
        <is>
          <t>Wearables</t>
        </is>
      </c>
      <c r="F33" s="56" t="n">
        <v>1</v>
      </c>
      <c r="G33" s="57" t="n">
        <v>77245.25</v>
      </c>
      <c r="H33" s="57" t="n">
        <v>77245.25</v>
      </c>
      <c r="I33" s="57" t="n">
        <v>52084.57</v>
      </c>
      <c r="J33" s="57" t="n">
        <v>25160.68</v>
      </c>
      <c r="K33" s="54" t="inlineStr">
        <is>
          <t>Mar</t>
        </is>
      </c>
      <c r="L33" s="58">
        <f>IFERROR(J33/H33,0)</f>
        <v/>
      </c>
      <c r="M33" s="56">
        <f>"Q"&amp;ROUNDUP(MONTH(B33)/3,0)</f>
        <v/>
      </c>
      <c r="N33" s="56">
        <f>MONTH(B33)</f>
        <v/>
      </c>
    </row>
    <row r="34">
      <c r="A34" s="54" t="inlineStr">
        <is>
          <t>ORD-1033</t>
        </is>
      </c>
      <c r="B34" s="55" t="n">
        <v>46096</v>
      </c>
      <c r="C34" s="54" t="inlineStr">
        <is>
          <t>Ibadan</t>
        </is>
      </c>
      <c r="D34" s="54" t="inlineStr">
        <is>
          <t>Laptop</t>
        </is>
      </c>
      <c r="E34" s="54" t="inlineStr">
        <is>
          <t>Computing</t>
        </is>
      </c>
      <c r="F34" s="56" t="n">
        <v>4</v>
      </c>
      <c r="G34" s="57" t="n">
        <v>502980.97</v>
      </c>
      <c r="H34" s="57" t="n">
        <v>2011923.9</v>
      </c>
      <c r="I34" s="57" t="n">
        <v>1637287.69</v>
      </c>
      <c r="J34" s="57" t="n">
        <v>374636.21</v>
      </c>
      <c r="K34" s="54" t="inlineStr">
        <is>
          <t>Mar</t>
        </is>
      </c>
      <c r="L34" s="58">
        <f>IFERROR(J34/H34,0)</f>
        <v/>
      </c>
      <c r="M34" s="56">
        <f>"Q"&amp;ROUNDUP(MONTH(B34)/3,0)</f>
        <v/>
      </c>
      <c r="N34" s="56">
        <f>MONTH(B34)</f>
        <v/>
      </c>
    </row>
    <row r="35">
      <c r="A35" s="54" t="inlineStr">
        <is>
          <t>ORD-1034</t>
        </is>
      </c>
      <c r="B35" s="55" t="n">
        <v>46098</v>
      </c>
      <c r="C35" s="54" t="inlineStr">
        <is>
          <t>Kano</t>
        </is>
      </c>
      <c r="D35" s="54" t="inlineStr">
        <is>
          <t>Headphones</t>
        </is>
      </c>
      <c r="E35" s="54" t="inlineStr">
        <is>
          <t>Accessories</t>
        </is>
      </c>
      <c r="F35" s="56" t="n">
        <v>6</v>
      </c>
      <c r="G35" s="57" t="n">
        <v>47120.09</v>
      </c>
      <c r="H35" s="57" t="n">
        <v>282720.52</v>
      </c>
      <c r="I35" s="57" t="n">
        <v>213934.48</v>
      </c>
      <c r="J35" s="57" t="n">
        <v>68786.03</v>
      </c>
      <c r="K35" s="54" t="inlineStr">
        <is>
          <t>Mar</t>
        </is>
      </c>
      <c r="L35" s="58">
        <f>IFERROR(J35/H35,0)</f>
        <v/>
      </c>
      <c r="M35" s="56">
        <f>"Q"&amp;ROUNDUP(MONTH(B35)/3,0)</f>
        <v/>
      </c>
      <c r="N35" s="56">
        <f>MONTH(B35)</f>
        <v/>
      </c>
    </row>
    <row r="36">
      <c r="A36" s="54" t="inlineStr">
        <is>
          <t>ORD-1035</t>
        </is>
      </c>
      <c r="B36" s="55" t="n">
        <v>46100</v>
      </c>
      <c r="C36" s="54" t="inlineStr">
        <is>
          <t>Ibadan</t>
        </is>
      </c>
      <c r="D36" s="54" t="inlineStr">
        <is>
          <t>Laptop</t>
        </is>
      </c>
      <c r="E36" s="54" t="inlineStr">
        <is>
          <t>Computing</t>
        </is>
      </c>
      <c r="F36" s="56" t="n">
        <v>1</v>
      </c>
      <c r="G36" s="57" t="n">
        <v>490894.27</v>
      </c>
      <c r="H36" s="57" t="n">
        <v>490894.27</v>
      </c>
      <c r="I36" s="57" t="n">
        <v>400007.79</v>
      </c>
      <c r="J36" s="57" t="n">
        <v>90886.48</v>
      </c>
      <c r="K36" s="54" t="inlineStr">
        <is>
          <t>Mar</t>
        </is>
      </c>
      <c r="L36" s="58">
        <f>IFERROR(J36/H36,0)</f>
        <v/>
      </c>
      <c r="M36" s="56">
        <f>"Q"&amp;ROUNDUP(MONTH(B36)/3,0)</f>
        <v/>
      </c>
      <c r="N36" s="56">
        <f>MONTH(B36)</f>
        <v/>
      </c>
    </row>
    <row r="37">
      <c r="A37" s="54" t="inlineStr">
        <is>
          <t>ORD-1036</t>
        </is>
      </c>
      <c r="B37" s="55" t="n">
        <v>46103</v>
      </c>
      <c r="C37" s="54" t="inlineStr">
        <is>
          <t>Kano</t>
        </is>
      </c>
      <c r="D37" s="54" t="inlineStr">
        <is>
          <t>Smartwatch</t>
        </is>
      </c>
      <c r="E37" s="54" t="inlineStr">
        <is>
          <t>Wearables</t>
        </is>
      </c>
      <c r="F37" s="56" t="n">
        <v>1</v>
      </c>
      <c r="G37" s="57" t="n">
        <v>87740.77</v>
      </c>
      <c r="H37" s="57" t="n">
        <v>87740.77</v>
      </c>
      <c r="I37" s="57" t="n">
        <v>65784.10000000001</v>
      </c>
      <c r="J37" s="57" t="n">
        <v>21956.67</v>
      </c>
      <c r="K37" s="54" t="inlineStr">
        <is>
          <t>Mar</t>
        </is>
      </c>
      <c r="L37" s="58">
        <f>IFERROR(J37/H37,0)</f>
        <v/>
      </c>
      <c r="M37" s="56">
        <f>"Q"&amp;ROUNDUP(MONTH(B37)/3,0)</f>
        <v/>
      </c>
      <c r="N37" s="56">
        <f>MONTH(B37)</f>
        <v/>
      </c>
    </row>
    <row r="38">
      <c r="A38" s="54" t="inlineStr">
        <is>
          <t>ORD-1037</t>
        </is>
      </c>
      <c r="B38" s="55" t="n">
        <v>46105</v>
      </c>
      <c r="C38" s="54" t="inlineStr">
        <is>
          <t>Ibadan</t>
        </is>
      </c>
      <c r="D38" s="54" t="inlineStr">
        <is>
          <t>Headphones</t>
        </is>
      </c>
      <c r="E38" s="54" t="inlineStr">
        <is>
          <t>Accessories</t>
        </is>
      </c>
      <c r="F38" s="56" t="n">
        <v>2</v>
      </c>
      <c r="G38" s="57" t="n">
        <v>50245.02</v>
      </c>
      <c r="H38" s="57" t="n">
        <v>100490.05</v>
      </c>
      <c r="I38" s="57" t="n">
        <v>65645.34</v>
      </c>
      <c r="J38" s="57" t="n">
        <v>34844.71</v>
      </c>
      <c r="K38" s="54" t="inlineStr">
        <is>
          <t>Mar</t>
        </is>
      </c>
      <c r="L38" s="58">
        <f>IFERROR(J38/H38,0)</f>
        <v/>
      </c>
      <c r="M38" s="56">
        <f>"Q"&amp;ROUNDUP(MONTH(B38)/3,0)</f>
        <v/>
      </c>
      <c r="N38" s="56">
        <f>MONTH(B38)</f>
        <v/>
      </c>
    </row>
    <row r="39">
      <c r="A39" s="54" t="inlineStr">
        <is>
          <t>ORD-1038</t>
        </is>
      </c>
      <c r="B39" s="55" t="n">
        <v>46107</v>
      </c>
      <c r="C39" s="54" t="inlineStr">
        <is>
          <t>Kano</t>
        </is>
      </c>
      <c r="D39" s="54" t="inlineStr">
        <is>
          <t>Tablet</t>
        </is>
      </c>
      <c r="E39" s="54" t="inlineStr">
        <is>
          <t>Mobile</t>
        </is>
      </c>
      <c r="F39" s="56" t="n">
        <v>3</v>
      </c>
      <c r="G39" s="57" t="n">
        <v>178242.49</v>
      </c>
      <c r="H39" s="57" t="n">
        <v>534727.48</v>
      </c>
      <c r="I39" s="57" t="n">
        <v>415317.89</v>
      </c>
      <c r="J39" s="57" t="n">
        <v>119409.59</v>
      </c>
      <c r="K39" s="54" t="inlineStr">
        <is>
          <t>Mar</t>
        </is>
      </c>
      <c r="L39" s="58">
        <f>IFERROR(J39/H39,0)</f>
        <v/>
      </c>
      <c r="M39" s="56">
        <f>"Q"&amp;ROUNDUP(MONTH(B39)/3,0)</f>
        <v/>
      </c>
      <c r="N39" s="56">
        <f>MONTH(B39)</f>
        <v/>
      </c>
    </row>
    <row r="40">
      <c r="A40" s="54" t="inlineStr">
        <is>
          <t>ORD-1039</t>
        </is>
      </c>
      <c r="B40" s="55" t="n">
        <v>46109</v>
      </c>
      <c r="C40" s="54" t="inlineStr">
        <is>
          <t>Abuja</t>
        </is>
      </c>
      <c r="D40" s="54" t="inlineStr">
        <is>
          <t>Headphones</t>
        </is>
      </c>
      <c r="E40" s="54" t="inlineStr">
        <is>
          <t>Accessories</t>
        </is>
      </c>
      <c r="F40" s="56" t="n">
        <v>2</v>
      </c>
      <c r="G40" s="57" t="n">
        <v>46442.12</v>
      </c>
      <c r="H40" s="57" t="n">
        <v>92884.24000000001</v>
      </c>
      <c r="I40" s="57" t="n">
        <v>66678.85000000001</v>
      </c>
      <c r="J40" s="57" t="n">
        <v>26205.39</v>
      </c>
      <c r="K40" s="54" t="inlineStr">
        <is>
          <t>Mar</t>
        </is>
      </c>
      <c r="L40" s="58">
        <f>IFERROR(J40/H40,0)</f>
        <v/>
      </c>
      <c r="M40" s="56">
        <f>"Q"&amp;ROUNDUP(MONTH(B40)/3,0)</f>
        <v/>
      </c>
      <c r="N40" s="56">
        <f>MONTH(B40)</f>
        <v/>
      </c>
    </row>
    <row r="41">
      <c r="A41" s="54" t="inlineStr">
        <is>
          <t>ORD-1040</t>
        </is>
      </c>
      <c r="B41" s="55" t="n">
        <v>46112</v>
      </c>
      <c r="C41" s="54" t="inlineStr">
        <is>
          <t>Port Harcourt</t>
        </is>
      </c>
      <c r="D41" s="54" t="inlineStr">
        <is>
          <t>Laptop</t>
        </is>
      </c>
      <c r="E41" s="54" t="inlineStr">
        <is>
          <t>Computing</t>
        </is>
      </c>
      <c r="F41" s="56" t="n">
        <v>4</v>
      </c>
      <c r="G41" s="57" t="n">
        <v>521023.21</v>
      </c>
      <c r="H41" s="57" t="n">
        <v>2084092.83</v>
      </c>
      <c r="I41" s="57" t="n">
        <v>1569486.16</v>
      </c>
      <c r="J41" s="57" t="n">
        <v>514606.67</v>
      </c>
      <c r="K41" s="54" t="inlineStr">
        <is>
          <t>Mar</t>
        </is>
      </c>
      <c r="L41" s="58">
        <f>IFERROR(J41/H41,0)</f>
        <v/>
      </c>
      <c r="M41" s="56">
        <f>"Q"&amp;ROUNDUP(MONTH(B41)/3,0)</f>
        <v/>
      </c>
      <c r="N41" s="56">
        <f>MONTH(B41)</f>
        <v/>
      </c>
    </row>
    <row r="42">
      <c r="A42" s="54" t="inlineStr">
        <is>
          <t>ORD-1041</t>
        </is>
      </c>
      <c r="B42" s="55" t="n">
        <v>46114</v>
      </c>
      <c r="C42" s="54" t="inlineStr">
        <is>
          <t>Port Harcourt</t>
        </is>
      </c>
      <c r="D42" s="54" t="inlineStr">
        <is>
          <t>Headphones</t>
        </is>
      </c>
      <c r="E42" s="54" t="inlineStr">
        <is>
          <t>Accessories</t>
        </is>
      </c>
      <c r="F42" s="56" t="n">
        <v>4</v>
      </c>
      <c r="G42" s="57" t="n">
        <v>46917.7</v>
      </c>
      <c r="H42" s="57" t="n">
        <v>187670.78</v>
      </c>
      <c r="I42" s="57" t="n">
        <v>113287.34</v>
      </c>
      <c r="J42" s="57" t="n">
        <v>74383.44</v>
      </c>
      <c r="K42" s="54" t="inlineStr">
        <is>
          <t>Apr</t>
        </is>
      </c>
      <c r="L42" s="58">
        <f>IFERROR(J42/H42,0)</f>
        <v/>
      </c>
      <c r="M42" s="56">
        <f>"Q"&amp;ROUNDUP(MONTH(B42)/3,0)</f>
        <v/>
      </c>
      <c r="N42" s="56">
        <f>MONTH(B42)</f>
        <v/>
      </c>
    </row>
    <row r="43">
      <c r="A43" s="54" t="inlineStr">
        <is>
          <t>ORD-1042</t>
        </is>
      </c>
      <c r="B43" s="55" t="n">
        <v>46116</v>
      </c>
      <c r="C43" s="54" t="inlineStr">
        <is>
          <t>Abuja</t>
        </is>
      </c>
      <c r="D43" s="54" t="inlineStr">
        <is>
          <t>Tablet</t>
        </is>
      </c>
      <c r="E43" s="54" t="inlineStr">
        <is>
          <t>Mobile</t>
        </is>
      </c>
      <c r="F43" s="56" t="n">
        <v>4</v>
      </c>
      <c r="G43" s="57" t="n">
        <v>196619.88</v>
      </c>
      <c r="H43" s="57" t="n">
        <v>786479.52</v>
      </c>
      <c r="I43" s="57" t="n">
        <v>502057.55</v>
      </c>
      <c r="J43" s="57" t="n">
        <v>284421.97</v>
      </c>
      <c r="K43" s="54" t="inlineStr">
        <is>
          <t>Apr</t>
        </is>
      </c>
      <c r="L43" s="58">
        <f>IFERROR(J43/H43,0)</f>
        <v/>
      </c>
      <c r="M43" s="56">
        <f>"Q"&amp;ROUNDUP(MONTH(B43)/3,0)</f>
        <v/>
      </c>
      <c r="N43" s="56">
        <f>MONTH(B43)</f>
        <v/>
      </c>
    </row>
    <row r="44">
      <c r="A44" s="54" t="inlineStr">
        <is>
          <t>ORD-1043</t>
        </is>
      </c>
      <c r="B44" s="55" t="n">
        <v>46119</v>
      </c>
      <c r="C44" s="54" t="inlineStr">
        <is>
          <t>Lagos</t>
        </is>
      </c>
      <c r="D44" s="54" t="inlineStr">
        <is>
          <t>Phone</t>
        </is>
      </c>
      <c r="E44" s="54" t="inlineStr">
        <is>
          <t>Mobile</t>
        </is>
      </c>
      <c r="F44" s="56" t="n">
        <v>1</v>
      </c>
      <c r="G44" s="57" t="n">
        <v>291806.38</v>
      </c>
      <c r="H44" s="57" t="n">
        <v>291806.38</v>
      </c>
      <c r="I44" s="57" t="n">
        <v>222282.79</v>
      </c>
      <c r="J44" s="57" t="n">
        <v>69523.59</v>
      </c>
      <c r="K44" s="54" t="inlineStr">
        <is>
          <t>Apr</t>
        </is>
      </c>
      <c r="L44" s="58">
        <f>IFERROR(J44/H44,0)</f>
        <v/>
      </c>
      <c r="M44" s="56">
        <f>"Q"&amp;ROUNDUP(MONTH(B44)/3,0)</f>
        <v/>
      </c>
      <c r="N44" s="56">
        <f>MONTH(B44)</f>
        <v/>
      </c>
    </row>
    <row r="45">
      <c r="A45" s="54" t="inlineStr">
        <is>
          <t>ORD-1044</t>
        </is>
      </c>
      <c r="B45" s="55" t="n">
        <v>46121</v>
      </c>
      <c r="C45" s="54" t="inlineStr">
        <is>
          <t>Abuja</t>
        </is>
      </c>
      <c r="D45" s="54" t="inlineStr">
        <is>
          <t>Phone</t>
        </is>
      </c>
      <c r="E45" s="54" t="inlineStr">
        <is>
          <t>Mobile</t>
        </is>
      </c>
      <c r="F45" s="56" t="n">
        <v>3</v>
      </c>
      <c r="G45" s="57" t="n">
        <v>261758.56</v>
      </c>
      <c r="H45" s="57" t="n">
        <v>785275.6800000001</v>
      </c>
      <c r="I45" s="57" t="n">
        <v>501390.74</v>
      </c>
      <c r="J45" s="57" t="n">
        <v>283884.95</v>
      </c>
      <c r="K45" s="54" t="inlineStr">
        <is>
          <t>Apr</t>
        </is>
      </c>
      <c r="L45" s="58">
        <f>IFERROR(J45/H45,0)</f>
        <v/>
      </c>
      <c r="M45" s="56">
        <f>"Q"&amp;ROUNDUP(MONTH(B45)/3,0)</f>
        <v/>
      </c>
      <c r="N45" s="56">
        <f>MONTH(B45)</f>
        <v/>
      </c>
    </row>
    <row r="46">
      <c r="A46" s="54" t="inlineStr">
        <is>
          <t>ORD-1045</t>
        </is>
      </c>
      <c r="B46" s="55" t="n">
        <v>46123</v>
      </c>
      <c r="C46" s="54" t="inlineStr">
        <is>
          <t>Ibadan</t>
        </is>
      </c>
      <c r="D46" s="54" t="inlineStr">
        <is>
          <t>Headphones</t>
        </is>
      </c>
      <c r="E46" s="54" t="inlineStr">
        <is>
          <t>Accessories</t>
        </is>
      </c>
      <c r="F46" s="56" t="n">
        <v>4</v>
      </c>
      <c r="G46" s="57" t="n">
        <v>42416.96</v>
      </c>
      <c r="H46" s="57" t="n">
        <v>169667.82</v>
      </c>
      <c r="I46" s="57" t="n">
        <v>138987.77</v>
      </c>
      <c r="J46" s="57" t="n">
        <v>30680.05</v>
      </c>
      <c r="K46" s="54" t="inlineStr">
        <is>
          <t>Apr</t>
        </is>
      </c>
      <c r="L46" s="58">
        <f>IFERROR(J46/H46,0)</f>
        <v/>
      </c>
      <c r="M46" s="56">
        <f>"Q"&amp;ROUNDUP(MONTH(B46)/3,0)</f>
        <v/>
      </c>
      <c r="N46" s="56">
        <f>MONTH(B46)</f>
        <v/>
      </c>
    </row>
    <row r="47">
      <c r="A47" s="54" t="inlineStr">
        <is>
          <t>ORD-1046</t>
        </is>
      </c>
      <c r="B47" s="55" t="n">
        <v>46125</v>
      </c>
      <c r="C47" s="54" t="inlineStr">
        <is>
          <t>Abuja</t>
        </is>
      </c>
      <c r="D47" s="54" t="inlineStr">
        <is>
          <t>Smartwatch</t>
        </is>
      </c>
      <c r="E47" s="54" t="inlineStr">
        <is>
          <t>Wearables</t>
        </is>
      </c>
      <c r="F47" s="56" t="n">
        <v>5</v>
      </c>
      <c r="G47" s="57" t="n">
        <v>92805.78</v>
      </c>
      <c r="H47" s="57" t="n">
        <v>464028.91</v>
      </c>
      <c r="I47" s="57" t="n">
        <v>297681.77</v>
      </c>
      <c r="J47" s="57" t="n">
        <v>166347.14</v>
      </c>
      <c r="K47" s="54" t="inlineStr">
        <is>
          <t>Apr</t>
        </is>
      </c>
      <c r="L47" s="58">
        <f>IFERROR(J47/H47,0)</f>
        <v/>
      </c>
      <c r="M47" s="56">
        <f>"Q"&amp;ROUNDUP(MONTH(B47)/3,0)</f>
        <v/>
      </c>
      <c r="N47" s="56">
        <f>MONTH(B47)</f>
        <v/>
      </c>
    </row>
    <row r="48">
      <c r="A48" s="54" t="inlineStr">
        <is>
          <t>ORD-1047</t>
        </is>
      </c>
      <c r="B48" s="55" t="n">
        <v>46128</v>
      </c>
      <c r="C48" s="54" t="inlineStr">
        <is>
          <t>Abuja</t>
        </is>
      </c>
      <c r="D48" s="54" t="inlineStr">
        <is>
          <t>Tablet</t>
        </is>
      </c>
      <c r="E48" s="54" t="inlineStr">
        <is>
          <t>Mobile</t>
        </is>
      </c>
      <c r="F48" s="56" t="n">
        <v>3</v>
      </c>
      <c r="G48" s="57" t="n">
        <v>200303.58</v>
      </c>
      <c r="H48" s="57" t="n">
        <v>600910.74</v>
      </c>
      <c r="I48" s="57" t="n">
        <v>479144.74</v>
      </c>
      <c r="J48" s="57" t="n">
        <v>121765.99</v>
      </c>
      <c r="K48" s="54" t="inlineStr">
        <is>
          <t>Apr</t>
        </is>
      </c>
      <c r="L48" s="58">
        <f>IFERROR(J48/H48,0)</f>
        <v/>
      </c>
      <c r="M48" s="56">
        <f>"Q"&amp;ROUNDUP(MONTH(B48)/3,0)</f>
        <v/>
      </c>
      <c r="N48" s="56">
        <f>MONTH(B48)</f>
        <v/>
      </c>
    </row>
    <row r="49">
      <c r="A49" s="54" t="inlineStr">
        <is>
          <t>ORD-1048</t>
        </is>
      </c>
      <c r="B49" s="55" t="n">
        <v>46130</v>
      </c>
      <c r="C49" s="54" t="inlineStr">
        <is>
          <t>Ibadan</t>
        </is>
      </c>
      <c r="D49" s="54" t="inlineStr">
        <is>
          <t>Headphones</t>
        </is>
      </c>
      <c r="E49" s="54" t="inlineStr">
        <is>
          <t>Accessories</t>
        </is>
      </c>
      <c r="F49" s="56" t="n">
        <v>3</v>
      </c>
      <c r="G49" s="57" t="n">
        <v>49704.86</v>
      </c>
      <c r="H49" s="57" t="n">
        <v>149114.57</v>
      </c>
      <c r="I49" s="57" t="n">
        <v>115232.01</v>
      </c>
      <c r="J49" s="57" t="n">
        <v>33882.57</v>
      </c>
      <c r="K49" s="54" t="inlineStr">
        <is>
          <t>Apr</t>
        </is>
      </c>
      <c r="L49" s="58">
        <f>IFERROR(J49/H49,0)</f>
        <v/>
      </c>
      <c r="M49" s="56">
        <f>"Q"&amp;ROUNDUP(MONTH(B49)/3,0)</f>
        <v/>
      </c>
      <c r="N49" s="56">
        <f>MONTH(B49)</f>
        <v/>
      </c>
    </row>
    <row r="50">
      <c r="A50" s="54" t="inlineStr">
        <is>
          <t>ORD-1049</t>
        </is>
      </c>
      <c r="B50" s="55" t="n">
        <v>46132</v>
      </c>
      <c r="C50" s="54" t="inlineStr">
        <is>
          <t>Lagos</t>
        </is>
      </c>
      <c r="D50" s="54" t="inlineStr">
        <is>
          <t>Tablet</t>
        </is>
      </c>
      <c r="E50" s="54" t="inlineStr">
        <is>
          <t>Mobile</t>
        </is>
      </c>
      <c r="F50" s="56" t="n">
        <v>6</v>
      </c>
      <c r="G50" s="57" t="n">
        <v>210070.08</v>
      </c>
      <c r="H50" s="57" t="n">
        <v>1260420.51</v>
      </c>
      <c r="I50" s="57" t="n">
        <v>1026242</v>
      </c>
      <c r="J50" s="57" t="n">
        <v>234178.51</v>
      </c>
      <c r="K50" s="54" t="inlineStr">
        <is>
          <t>Apr</t>
        </is>
      </c>
      <c r="L50" s="58">
        <f>IFERROR(J50/H50,0)</f>
        <v/>
      </c>
      <c r="M50" s="56">
        <f>"Q"&amp;ROUNDUP(MONTH(B50)/3,0)</f>
        <v/>
      </c>
      <c r="N50" s="56">
        <f>MONTH(B50)</f>
        <v/>
      </c>
    </row>
    <row r="51">
      <c r="A51" s="54" t="inlineStr">
        <is>
          <t>ORD-1050</t>
        </is>
      </c>
      <c r="B51" s="55" t="n">
        <v>46135</v>
      </c>
      <c r="C51" s="54" t="inlineStr">
        <is>
          <t>Abuja</t>
        </is>
      </c>
      <c r="D51" s="54" t="inlineStr">
        <is>
          <t>Phone</t>
        </is>
      </c>
      <c r="E51" s="54" t="inlineStr">
        <is>
          <t>Mobile</t>
        </is>
      </c>
      <c r="F51" s="56" t="n">
        <v>2</v>
      </c>
      <c r="G51" s="57" t="n">
        <v>292895.36</v>
      </c>
      <c r="H51" s="57" t="n">
        <v>585790.71</v>
      </c>
      <c r="I51" s="57" t="n">
        <v>435495.26</v>
      </c>
      <c r="J51" s="57" t="n">
        <v>150295.46</v>
      </c>
      <c r="K51" s="54" t="inlineStr">
        <is>
          <t>Apr</t>
        </is>
      </c>
      <c r="L51" s="58">
        <f>IFERROR(J51/H51,0)</f>
        <v/>
      </c>
      <c r="M51" s="56">
        <f>"Q"&amp;ROUNDUP(MONTH(B51)/3,0)</f>
        <v/>
      </c>
      <c r="N51" s="56">
        <f>MONTH(B51)</f>
        <v/>
      </c>
    </row>
    <row r="52">
      <c r="A52" s="54" t="inlineStr">
        <is>
          <t>ORD-1051</t>
        </is>
      </c>
      <c r="B52" s="55" t="n">
        <v>46137</v>
      </c>
      <c r="C52" s="54" t="inlineStr">
        <is>
          <t>Ibadan</t>
        </is>
      </c>
      <c r="D52" s="54" t="inlineStr">
        <is>
          <t>Headphones</t>
        </is>
      </c>
      <c r="E52" s="54" t="inlineStr">
        <is>
          <t>Accessories</t>
        </is>
      </c>
      <c r="F52" s="56" t="n">
        <v>1</v>
      </c>
      <c r="G52" s="57" t="n">
        <v>39795.21</v>
      </c>
      <c r="H52" s="57" t="n">
        <v>39795.21</v>
      </c>
      <c r="I52" s="57" t="n">
        <v>28201.14</v>
      </c>
      <c r="J52" s="57" t="n">
        <v>11594.07</v>
      </c>
      <c r="K52" s="54" t="inlineStr">
        <is>
          <t>Apr</t>
        </is>
      </c>
      <c r="L52" s="58">
        <f>IFERROR(J52/H52,0)</f>
        <v/>
      </c>
      <c r="M52" s="56">
        <f>"Q"&amp;ROUNDUP(MONTH(B52)/3,0)</f>
        <v/>
      </c>
      <c r="N52" s="56">
        <f>MONTH(B52)</f>
        <v/>
      </c>
    </row>
    <row r="53">
      <c r="A53" s="54" t="inlineStr">
        <is>
          <t>ORD-1052</t>
        </is>
      </c>
      <c r="B53" s="55" t="n">
        <v>46139</v>
      </c>
      <c r="C53" s="54" t="inlineStr">
        <is>
          <t>Port Harcourt</t>
        </is>
      </c>
      <c r="D53" s="54" t="inlineStr">
        <is>
          <t>Tablet</t>
        </is>
      </c>
      <c r="E53" s="54" t="inlineStr">
        <is>
          <t>Mobile</t>
        </is>
      </c>
      <c r="F53" s="56" t="n">
        <v>1</v>
      </c>
      <c r="G53" s="57" t="n">
        <v>181247.57</v>
      </c>
      <c r="H53" s="57" t="n">
        <v>181247.57</v>
      </c>
      <c r="I53" s="57" t="n">
        <v>130382.05</v>
      </c>
      <c r="J53" s="57" t="n">
        <v>50865.53</v>
      </c>
      <c r="K53" s="54" t="inlineStr">
        <is>
          <t>Apr</t>
        </is>
      </c>
      <c r="L53" s="58">
        <f>IFERROR(J53/H53,0)</f>
        <v/>
      </c>
      <c r="M53" s="56">
        <f>"Q"&amp;ROUNDUP(MONTH(B53)/3,0)</f>
        <v/>
      </c>
      <c r="N53" s="56">
        <f>MONTH(B53)</f>
        <v/>
      </c>
    </row>
    <row r="54">
      <c r="A54" s="54" t="inlineStr">
        <is>
          <t>ORD-1053</t>
        </is>
      </c>
      <c r="B54" s="55" t="n">
        <v>46141</v>
      </c>
      <c r="C54" s="54" t="inlineStr">
        <is>
          <t>Kano</t>
        </is>
      </c>
      <c r="D54" s="54" t="inlineStr">
        <is>
          <t>Tablet</t>
        </is>
      </c>
      <c r="E54" s="54" t="inlineStr">
        <is>
          <t>Mobile</t>
        </is>
      </c>
      <c r="F54" s="56" t="n">
        <v>6</v>
      </c>
      <c r="G54" s="57" t="n">
        <v>179293.23</v>
      </c>
      <c r="H54" s="57" t="n">
        <v>1075759.37</v>
      </c>
      <c r="I54" s="57" t="n">
        <v>703199.9300000001</v>
      </c>
      <c r="J54" s="57" t="n">
        <v>372559.44</v>
      </c>
      <c r="K54" s="54" t="inlineStr">
        <is>
          <t>Apr</t>
        </is>
      </c>
      <c r="L54" s="58">
        <f>IFERROR(J54/H54,0)</f>
        <v/>
      </c>
      <c r="M54" s="56">
        <f>"Q"&amp;ROUNDUP(MONTH(B54)/3,0)</f>
        <v/>
      </c>
      <c r="N54" s="56">
        <f>MONTH(B54)</f>
        <v/>
      </c>
    </row>
    <row r="55">
      <c r="A55" s="54" t="inlineStr">
        <is>
          <t>ORD-1054</t>
        </is>
      </c>
      <c r="B55" s="55" t="n">
        <v>46144</v>
      </c>
      <c r="C55" s="54" t="inlineStr">
        <is>
          <t>Kano</t>
        </is>
      </c>
      <c r="D55" s="54" t="inlineStr">
        <is>
          <t>Tablet</t>
        </is>
      </c>
      <c r="E55" s="54" t="inlineStr">
        <is>
          <t>Mobile</t>
        </is>
      </c>
      <c r="F55" s="56" t="n">
        <v>6</v>
      </c>
      <c r="G55" s="57" t="n">
        <v>208518.1</v>
      </c>
      <c r="H55" s="57" t="n">
        <v>1251108.63</v>
      </c>
      <c r="I55" s="57" t="n">
        <v>870229.58</v>
      </c>
      <c r="J55" s="57" t="n">
        <v>380879.05</v>
      </c>
      <c r="K55" s="54" t="inlineStr">
        <is>
          <t>May</t>
        </is>
      </c>
      <c r="L55" s="58">
        <f>IFERROR(J55/H55,0)</f>
        <v/>
      </c>
      <c r="M55" s="56">
        <f>"Q"&amp;ROUNDUP(MONTH(B55)/3,0)</f>
        <v/>
      </c>
      <c r="N55" s="56">
        <f>MONTH(B55)</f>
        <v/>
      </c>
    </row>
    <row r="56">
      <c r="A56" s="54" t="inlineStr">
        <is>
          <t>ORD-1055</t>
        </is>
      </c>
      <c r="B56" s="55" t="n">
        <v>46146</v>
      </c>
      <c r="C56" s="54" t="inlineStr">
        <is>
          <t>Ibadan</t>
        </is>
      </c>
      <c r="D56" s="54" t="inlineStr">
        <is>
          <t>Laptop</t>
        </is>
      </c>
      <c r="E56" s="54" t="inlineStr">
        <is>
          <t>Computing</t>
        </is>
      </c>
      <c r="F56" s="56" t="n">
        <v>4</v>
      </c>
      <c r="G56" s="57" t="n">
        <v>541081.72</v>
      </c>
      <c r="H56" s="57" t="n">
        <v>2164326.89</v>
      </c>
      <c r="I56" s="57" t="n">
        <v>1710071.18</v>
      </c>
      <c r="J56" s="57" t="n">
        <v>454255.71</v>
      </c>
      <c r="K56" s="54" t="inlineStr">
        <is>
          <t>May</t>
        </is>
      </c>
      <c r="L56" s="58">
        <f>IFERROR(J56/H56,0)</f>
        <v/>
      </c>
      <c r="M56" s="56">
        <f>"Q"&amp;ROUNDUP(MONTH(B56)/3,0)</f>
        <v/>
      </c>
      <c r="N56" s="56">
        <f>MONTH(B56)</f>
        <v/>
      </c>
    </row>
    <row r="57">
      <c r="A57" s="54" t="inlineStr">
        <is>
          <t>ORD-1056</t>
        </is>
      </c>
      <c r="B57" s="55" t="n">
        <v>46148</v>
      </c>
      <c r="C57" s="54" t="inlineStr">
        <is>
          <t>Abuja</t>
        </is>
      </c>
      <c r="D57" s="54" t="inlineStr">
        <is>
          <t>Smartwatch</t>
        </is>
      </c>
      <c r="E57" s="54" t="inlineStr">
        <is>
          <t>Wearables</t>
        </is>
      </c>
      <c r="F57" s="56" t="n">
        <v>3</v>
      </c>
      <c r="G57" s="57" t="n">
        <v>86468.89</v>
      </c>
      <c r="H57" s="57" t="n">
        <v>259406.66</v>
      </c>
      <c r="I57" s="57" t="n">
        <v>199504.96</v>
      </c>
      <c r="J57" s="57" t="n">
        <v>59901.7</v>
      </c>
      <c r="K57" s="54" t="inlineStr">
        <is>
          <t>May</t>
        </is>
      </c>
      <c r="L57" s="58">
        <f>IFERROR(J57/H57,0)</f>
        <v/>
      </c>
      <c r="M57" s="56">
        <f>"Q"&amp;ROUNDUP(MONTH(B57)/3,0)</f>
        <v/>
      </c>
      <c r="N57" s="56">
        <f>MONTH(B57)</f>
        <v/>
      </c>
    </row>
    <row r="58">
      <c r="A58" s="54" t="inlineStr">
        <is>
          <t>ORD-1057</t>
        </is>
      </c>
      <c r="B58" s="55" t="n">
        <v>46151</v>
      </c>
      <c r="C58" s="54" t="inlineStr">
        <is>
          <t>Port Harcourt</t>
        </is>
      </c>
      <c r="D58" s="54" t="inlineStr">
        <is>
          <t>Headphones</t>
        </is>
      </c>
      <c r="E58" s="54" t="inlineStr">
        <is>
          <t>Accessories</t>
        </is>
      </c>
      <c r="F58" s="56" t="n">
        <v>4</v>
      </c>
      <c r="G58" s="57" t="n">
        <v>44675.4</v>
      </c>
      <c r="H58" s="57" t="n">
        <v>178701.6</v>
      </c>
      <c r="I58" s="57" t="n">
        <v>118211.7</v>
      </c>
      <c r="J58" s="57" t="n">
        <v>60489.91</v>
      </c>
      <c r="K58" s="54" t="inlineStr">
        <is>
          <t>May</t>
        </is>
      </c>
      <c r="L58" s="58">
        <f>IFERROR(J58/H58,0)</f>
        <v/>
      </c>
      <c r="M58" s="56">
        <f>"Q"&amp;ROUNDUP(MONTH(B58)/3,0)</f>
        <v/>
      </c>
      <c r="N58" s="56">
        <f>MONTH(B58)</f>
        <v/>
      </c>
    </row>
    <row r="59">
      <c r="A59" s="54" t="inlineStr">
        <is>
          <t>ORD-1058</t>
        </is>
      </c>
      <c r="B59" s="55" t="n">
        <v>46153</v>
      </c>
      <c r="C59" s="54" t="inlineStr">
        <is>
          <t>Kano</t>
        </is>
      </c>
      <c r="D59" s="54" t="inlineStr">
        <is>
          <t>Headphones</t>
        </is>
      </c>
      <c r="E59" s="54" t="inlineStr">
        <is>
          <t>Accessories</t>
        </is>
      </c>
      <c r="F59" s="56" t="n">
        <v>1</v>
      </c>
      <c r="G59" s="57" t="n">
        <v>49893.18</v>
      </c>
      <c r="H59" s="57" t="n">
        <v>49893.18</v>
      </c>
      <c r="I59" s="57" t="n">
        <v>33566.39</v>
      </c>
      <c r="J59" s="57" t="n">
        <v>16326.79</v>
      </c>
      <c r="K59" s="54" t="inlineStr">
        <is>
          <t>May</t>
        </is>
      </c>
      <c r="L59" s="58">
        <f>IFERROR(J59/H59,0)</f>
        <v/>
      </c>
      <c r="M59" s="56">
        <f>"Q"&amp;ROUNDUP(MONTH(B59)/3,0)</f>
        <v/>
      </c>
      <c r="N59" s="56">
        <f>MONTH(B59)</f>
        <v/>
      </c>
    </row>
    <row r="60">
      <c r="A60" s="54" t="inlineStr">
        <is>
          <t>ORD-1059</t>
        </is>
      </c>
      <c r="B60" s="55" t="n">
        <v>46155</v>
      </c>
      <c r="C60" s="54" t="inlineStr">
        <is>
          <t>Kano</t>
        </is>
      </c>
      <c r="D60" s="54" t="inlineStr">
        <is>
          <t>Tablet</t>
        </is>
      </c>
      <c r="E60" s="54" t="inlineStr">
        <is>
          <t>Mobile</t>
        </is>
      </c>
      <c r="F60" s="56" t="n">
        <v>4</v>
      </c>
      <c r="G60" s="57" t="n">
        <v>206097.23</v>
      </c>
      <c r="H60" s="57" t="n">
        <v>824388.92</v>
      </c>
      <c r="I60" s="57" t="n">
        <v>548036.24</v>
      </c>
      <c r="J60" s="57" t="n">
        <v>276352.68</v>
      </c>
      <c r="K60" s="54" t="inlineStr">
        <is>
          <t>May</t>
        </is>
      </c>
      <c r="L60" s="58">
        <f>IFERROR(J60/H60,0)</f>
        <v/>
      </c>
      <c r="M60" s="56">
        <f>"Q"&amp;ROUNDUP(MONTH(B60)/3,0)</f>
        <v/>
      </c>
      <c r="N60" s="56">
        <f>MONTH(B60)</f>
        <v/>
      </c>
    </row>
    <row r="61">
      <c r="A61" s="54" t="inlineStr">
        <is>
          <t>ORD-1060</t>
        </is>
      </c>
      <c r="B61" s="55" t="n">
        <v>46157</v>
      </c>
      <c r="C61" s="54" t="inlineStr">
        <is>
          <t>Lagos</t>
        </is>
      </c>
      <c r="D61" s="54" t="inlineStr">
        <is>
          <t>Laptop</t>
        </is>
      </c>
      <c r="E61" s="54" t="inlineStr">
        <is>
          <t>Computing</t>
        </is>
      </c>
      <c r="F61" s="56" t="n">
        <v>3</v>
      </c>
      <c r="G61" s="57" t="n">
        <v>478752.69</v>
      </c>
      <c r="H61" s="57" t="n">
        <v>1436258.08</v>
      </c>
      <c r="I61" s="57" t="n">
        <v>1037691.12</v>
      </c>
      <c r="J61" s="57" t="n">
        <v>398566.96</v>
      </c>
      <c r="K61" s="54" t="inlineStr">
        <is>
          <t>May</t>
        </is>
      </c>
      <c r="L61" s="58">
        <f>IFERROR(J61/H61,0)</f>
        <v/>
      </c>
      <c r="M61" s="56">
        <f>"Q"&amp;ROUNDUP(MONTH(B61)/3,0)</f>
        <v/>
      </c>
      <c r="N61" s="56">
        <f>MONTH(B61)</f>
        <v/>
      </c>
    </row>
    <row r="62">
      <c r="A62" s="54" t="inlineStr">
        <is>
          <t>ORD-1061</t>
        </is>
      </c>
      <c r="B62" s="55" t="n">
        <v>46160</v>
      </c>
      <c r="C62" s="54" t="inlineStr">
        <is>
          <t>Lagos</t>
        </is>
      </c>
      <c r="D62" s="54" t="inlineStr">
        <is>
          <t>Tablet</t>
        </is>
      </c>
      <c r="E62" s="54" t="inlineStr">
        <is>
          <t>Mobile</t>
        </is>
      </c>
      <c r="F62" s="56" t="n">
        <v>6</v>
      </c>
      <c r="G62" s="57" t="n">
        <v>171631.25</v>
      </c>
      <c r="H62" s="57" t="n">
        <v>1029787.49</v>
      </c>
      <c r="I62" s="57" t="n">
        <v>757204.38</v>
      </c>
      <c r="J62" s="57" t="n">
        <v>272583.11</v>
      </c>
      <c r="K62" s="54" t="inlineStr">
        <is>
          <t>May</t>
        </is>
      </c>
      <c r="L62" s="58">
        <f>IFERROR(J62/H62,0)</f>
        <v/>
      </c>
      <c r="M62" s="56">
        <f>"Q"&amp;ROUNDUP(MONTH(B62)/3,0)</f>
        <v/>
      </c>
      <c r="N62" s="56">
        <f>MONTH(B62)</f>
        <v/>
      </c>
    </row>
    <row r="63">
      <c r="A63" s="54" t="inlineStr">
        <is>
          <t>ORD-1062</t>
        </is>
      </c>
      <c r="B63" s="55" t="n">
        <v>46162</v>
      </c>
      <c r="C63" s="54" t="inlineStr">
        <is>
          <t>Abuja</t>
        </is>
      </c>
      <c r="D63" s="54" t="inlineStr">
        <is>
          <t>Tablet</t>
        </is>
      </c>
      <c r="E63" s="54" t="inlineStr">
        <is>
          <t>Mobile</t>
        </is>
      </c>
      <c r="F63" s="56" t="n">
        <v>2</v>
      </c>
      <c r="G63" s="57" t="n">
        <v>207208.21</v>
      </c>
      <c r="H63" s="57" t="n">
        <v>414416.42</v>
      </c>
      <c r="I63" s="57" t="n">
        <v>316186.92</v>
      </c>
      <c r="J63" s="57" t="n">
        <v>98229.5</v>
      </c>
      <c r="K63" s="54" t="inlineStr">
        <is>
          <t>May</t>
        </is>
      </c>
      <c r="L63" s="58">
        <f>IFERROR(J63/H63,0)</f>
        <v/>
      </c>
      <c r="M63" s="56">
        <f>"Q"&amp;ROUNDUP(MONTH(B63)/3,0)</f>
        <v/>
      </c>
      <c r="N63" s="56">
        <f>MONTH(B63)</f>
        <v/>
      </c>
    </row>
    <row r="64">
      <c r="A64" s="54" t="inlineStr">
        <is>
          <t>ORD-1063</t>
        </is>
      </c>
      <c r="B64" s="55" t="n">
        <v>46164</v>
      </c>
      <c r="C64" s="54" t="inlineStr">
        <is>
          <t>Lagos</t>
        </is>
      </c>
      <c r="D64" s="54" t="inlineStr">
        <is>
          <t>Laptop</t>
        </is>
      </c>
      <c r="E64" s="54" t="inlineStr">
        <is>
          <t>Computing</t>
        </is>
      </c>
      <c r="F64" s="56" t="n">
        <v>3</v>
      </c>
      <c r="G64" s="57" t="n">
        <v>546072.09</v>
      </c>
      <c r="H64" s="57" t="n">
        <v>1638216.28</v>
      </c>
      <c r="I64" s="57" t="n">
        <v>1182170.28</v>
      </c>
      <c r="J64" s="57" t="n">
        <v>456046</v>
      </c>
      <c r="K64" s="54" t="inlineStr">
        <is>
          <t>May</t>
        </is>
      </c>
      <c r="L64" s="58">
        <f>IFERROR(J64/H64,0)</f>
        <v/>
      </c>
      <c r="M64" s="56">
        <f>"Q"&amp;ROUNDUP(MONTH(B64)/3,0)</f>
        <v/>
      </c>
      <c r="N64" s="56">
        <f>MONTH(B64)</f>
        <v/>
      </c>
    </row>
    <row r="65">
      <c r="A65" s="54" t="inlineStr">
        <is>
          <t>ORD-1064</t>
        </is>
      </c>
      <c r="B65" s="55" t="n">
        <v>46167</v>
      </c>
      <c r="C65" s="54" t="inlineStr">
        <is>
          <t>Ibadan</t>
        </is>
      </c>
      <c r="D65" s="54" t="inlineStr">
        <is>
          <t>Phone</t>
        </is>
      </c>
      <c r="E65" s="54" t="inlineStr">
        <is>
          <t>Mobile</t>
        </is>
      </c>
      <c r="F65" s="56" t="n">
        <v>3</v>
      </c>
      <c r="G65" s="57" t="n">
        <v>263617.11</v>
      </c>
      <c r="H65" s="57" t="n">
        <v>790851.3199999999</v>
      </c>
      <c r="I65" s="57" t="n">
        <v>580906.41</v>
      </c>
      <c r="J65" s="57" t="n">
        <v>209944.91</v>
      </c>
      <c r="K65" s="54" t="inlineStr">
        <is>
          <t>May</t>
        </is>
      </c>
      <c r="L65" s="58">
        <f>IFERROR(J65/H65,0)</f>
        <v/>
      </c>
      <c r="M65" s="56">
        <f>"Q"&amp;ROUNDUP(MONTH(B65)/3,0)</f>
        <v/>
      </c>
      <c r="N65" s="56">
        <f>MONTH(B65)</f>
        <v/>
      </c>
    </row>
    <row r="66">
      <c r="A66" s="54" t="inlineStr">
        <is>
          <t>ORD-1065</t>
        </is>
      </c>
      <c r="B66" s="55" t="n">
        <v>46169</v>
      </c>
      <c r="C66" s="54" t="inlineStr">
        <is>
          <t>Ibadan</t>
        </is>
      </c>
      <c r="D66" s="54" t="inlineStr">
        <is>
          <t>Phone</t>
        </is>
      </c>
      <c r="E66" s="54" t="inlineStr">
        <is>
          <t>Mobile</t>
        </is>
      </c>
      <c r="F66" s="56" t="n">
        <v>1</v>
      </c>
      <c r="G66" s="57" t="n">
        <v>288594.5</v>
      </c>
      <c r="H66" s="57" t="n">
        <v>288594.5</v>
      </c>
      <c r="I66" s="57" t="n">
        <v>185491.31</v>
      </c>
      <c r="J66" s="57" t="n">
        <v>103103.19</v>
      </c>
      <c r="K66" s="54" t="inlineStr">
        <is>
          <t>May</t>
        </is>
      </c>
      <c r="L66" s="58">
        <f>IFERROR(J66/H66,0)</f>
        <v/>
      </c>
      <c r="M66" s="56">
        <f>"Q"&amp;ROUNDUP(MONTH(B66)/3,0)</f>
        <v/>
      </c>
      <c r="N66" s="56">
        <f>MONTH(B66)</f>
        <v/>
      </c>
    </row>
    <row r="67">
      <c r="A67" s="54" t="inlineStr">
        <is>
          <t>ORD-1066</t>
        </is>
      </c>
      <c r="B67" s="55" t="n">
        <v>46171</v>
      </c>
      <c r="C67" s="54" t="inlineStr">
        <is>
          <t>Port Harcourt</t>
        </is>
      </c>
      <c r="D67" s="54" t="inlineStr">
        <is>
          <t>Tablet</t>
        </is>
      </c>
      <c r="E67" s="54" t="inlineStr">
        <is>
          <t>Mobile</t>
        </is>
      </c>
      <c r="F67" s="56" t="n">
        <v>4</v>
      </c>
      <c r="G67" s="57" t="n">
        <v>193596.24</v>
      </c>
      <c r="H67" s="57" t="n">
        <v>774384.96</v>
      </c>
      <c r="I67" s="57" t="n">
        <v>539331.48</v>
      </c>
      <c r="J67" s="57" t="n">
        <v>235053.47</v>
      </c>
      <c r="K67" s="54" t="inlineStr">
        <is>
          <t>May</t>
        </is>
      </c>
      <c r="L67" s="58">
        <f>IFERROR(J67/H67,0)</f>
        <v/>
      </c>
      <c r="M67" s="56">
        <f>"Q"&amp;ROUNDUP(MONTH(B67)/3,0)</f>
        <v/>
      </c>
      <c r="N67" s="56">
        <f>MONTH(B67)</f>
        <v/>
      </c>
    </row>
    <row r="68">
      <c r="A68" s="54" t="inlineStr">
        <is>
          <t>ORD-1067</t>
        </is>
      </c>
      <c r="B68" s="55" t="n">
        <v>46173</v>
      </c>
      <c r="C68" s="54" t="inlineStr">
        <is>
          <t>Lagos</t>
        </is>
      </c>
      <c r="D68" s="54" t="inlineStr">
        <is>
          <t>Laptop</t>
        </is>
      </c>
      <c r="E68" s="54" t="inlineStr">
        <is>
          <t>Computing</t>
        </is>
      </c>
      <c r="F68" s="56" t="n">
        <v>2</v>
      </c>
      <c r="G68" s="57" t="n">
        <v>525322.05</v>
      </c>
      <c r="H68" s="57" t="n">
        <v>1050644.1</v>
      </c>
      <c r="I68" s="57" t="n">
        <v>696618.09</v>
      </c>
      <c r="J68" s="57" t="n">
        <v>354026.01</v>
      </c>
      <c r="K68" s="54" t="inlineStr">
        <is>
          <t>May</t>
        </is>
      </c>
      <c r="L68" s="58">
        <f>IFERROR(J68/H68,0)</f>
        <v/>
      </c>
      <c r="M68" s="56">
        <f>"Q"&amp;ROUNDUP(MONTH(B68)/3,0)</f>
        <v/>
      </c>
      <c r="N68" s="56">
        <f>MONTH(B68)</f>
        <v/>
      </c>
    </row>
    <row r="69">
      <c r="A69" s="54" t="inlineStr">
        <is>
          <t>ORD-1068</t>
        </is>
      </c>
      <c r="B69" s="55" t="n">
        <v>46176</v>
      </c>
      <c r="C69" s="54" t="inlineStr">
        <is>
          <t>Port Harcourt</t>
        </is>
      </c>
      <c r="D69" s="54" t="inlineStr">
        <is>
          <t>Phone</t>
        </is>
      </c>
      <c r="E69" s="54" t="inlineStr">
        <is>
          <t>Mobile</t>
        </is>
      </c>
      <c r="F69" s="56" t="n">
        <v>6</v>
      </c>
      <c r="G69" s="57" t="n">
        <v>263216.89</v>
      </c>
      <c r="H69" s="57" t="n">
        <v>1579301.35</v>
      </c>
      <c r="I69" s="57" t="n">
        <v>961073.79</v>
      </c>
      <c r="J69" s="57" t="n">
        <v>618227.55</v>
      </c>
      <c r="K69" s="54" t="inlineStr">
        <is>
          <t>Jun</t>
        </is>
      </c>
      <c r="L69" s="58">
        <f>IFERROR(J69/H69,0)</f>
        <v/>
      </c>
      <c r="M69" s="56">
        <f>"Q"&amp;ROUNDUP(MONTH(B69)/3,0)</f>
        <v/>
      </c>
      <c r="N69" s="56">
        <f>MONTH(B69)</f>
        <v/>
      </c>
    </row>
    <row r="70">
      <c r="A70" s="54" t="inlineStr">
        <is>
          <t>ORD-1069</t>
        </is>
      </c>
      <c r="B70" s="55" t="n">
        <v>46178</v>
      </c>
      <c r="C70" s="54" t="inlineStr">
        <is>
          <t>Ibadan</t>
        </is>
      </c>
      <c r="D70" s="54" t="inlineStr">
        <is>
          <t>Headphones</t>
        </is>
      </c>
      <c r="E70" s="54" t="inlineStr">
        <is>
          <t>Accessories</t>
        </is>
      </c>
      <c r="F70" s="56" t="n">
        <v>5</v>
      </c>
      <c r="G70" s="57" t="n">
        <v>45240.23</v>
      </c>
      <c r="H70" s="57" t="n">
        <v>226201.14</v>
      </c>
      <c r="I70" s="57" t="n">
        <v>174038.83</v>
      </c>
      <c r="J70" s="57" t="n">
        <v>52162.3</v>
      </c>
      <c r="K70" s="54" t="inlineStr">
        <is>
          <t>Jun</t>
        </is>
      </c>
      <c r="L70" s="58">
        <f>IFERROR(J70/H70,0)</f>
        <v/>
      </c>
      <c r="M70" s="56">
        <f>"Q"&amp;ROUNDUP(MONTH(B70)/3,0)</f>
        <v/>
      </c>
      <c r="N70" s="56">
        <f>MONTH(B70)</f>
        <v/>
      </c>
    </row>
    <row r="71">
      <c r="A71" s="54" t="inlineStr">
        <is>
          <t>ORD-1070</t>
        </is>
      </c>
      <c r="B71" s="55" t="n">
        <v>46180</v>
      </c>
      <c r="C71" s="54" t="inlineStr">
        <is>
          <t>Ibadan</t>
        </is>
      </c>
      <c r="D71" s="54" t="inlineStr">
        <is>
          <t>Headphones</t>
        </is>
      </c>
      <c r="E71" s="54" t="inlineStr">
        <is>
          <t>Accessories</t>
        </is>
      </c>
      <c r="F71" s="56" t="n">
        <v>5</v>
      </c>
      <c r="G71" s="57" t="n">
        <v>44538.46</v>
      </c>
      <c r="H71" s="57" t="n">
        <v>222692.32</v>
      </c>
      <c r="I71" s="57" t="n">
        <v>174868.05</v>
      </c>
      <c r="J71" s="57" t="n">
        <v>47824.27</v>
      </c>
      <c r="K71" s="54" t="inlineStr">
        <is>
          <t>Jun</t>
        </is>
      </c>
      <c r="L71" s="58">
        <f>IFERROR(J71/H71,0)</f>
        <v/>
      </c>
      <c r="M71" s="56">
        <f>"Q"&amp;ROUNDUP(MONTH(B71)/3,0)</f>
        <v/>
      </c>
      <c r="N71" s="56">
        <f>MONTH(B71)</f>
        <v/>
      </c>
    </row>
    <row r="72">
      <c r="A72" s="54" t="inlineStr">
        <is>
          <t>ORD-1071</t>
        </is>
      </c>
      <c r="B72" s="55" t="n">
        <v>46183</v>
      </c>
      <c r="C72" s="54" t="inlineStr">
        <is>
          <t>Lagos</t>
        </is>
      </c>
      <c r="D72" s="54" t="inlineStr">
        <is>
          <t>Tablet</t>
        </is>
      </c>
      <c r="E72" s="54" t="inlineStr">
        <is>
          <t>Mobile</t>
        </is>
      </c>
      <c r="F72" s="56" t="n">
        <v>4</v>
      </c>
      <c r="G72" s="57" t="n">
        <v>173253.19</v>
      </c>
      <c r="H72" s="57" t="n">
        <v>693012.77</v>
      </c>
      <c r="I72" s="57" t="n">
        <v>563625.97</v>
      </c>
      <c r="J72" s="57" t="n">
        <v>129386.79</v>
      </c>
      <c r="K72" s="54" t="inlineStr">
        <is>
          <t>Jun</t>
        </is>
      </c>
      <c r="L72" s="58">
        <f>IFERROR(J72/H72,0)</f>
        <v/>
      </c>
      <c r="M72" s="56">
        <f>"Q"&amp;ROUNDUP(MONTH(B72)/3,0)</f>
        <v/>
      </c>
      <c r="N72" s="56">
        <f>MONTH(B72)</f>
        <v/>
      </c>
    </row>
    <row r="73">
      <c r="A73" s="54" t="inlineStr">
        <is>
          <t>ORD-1072</t>
        </is>
      </c>
      <c r="B73" s="55" t="n">
        <v>46185</v>
      </c>
      <c r="C73" s="54" t="inlineStr">
        <is>
          <t>Lagos</t>
        </is>
      </c>
      <c r="D73" s="54" t="inlineStr">
        <is>
          <t>Tablet</t>
        </is>
      </c>
      <c r="E73" s="54" t="inlineStr">
        <is>
          <t>Mobile</t>
        </is>
      </c>
      <c r="F73" s="56" t="n">
        <v>1</v>
      </c>
      <c r="G73" s="57" t="n">
        <v>185386.23</v>
      </c>
      <c r="H73" s="57" t="n">
        <v>185386.23</v>
      </c>
      <c r="I73" s="57" t="n">
        <v>128912.87</v>
      </c>
      <c r="J73" s="57" t="n">
        <v>56473.36</v>
      </c>
      <c r="K73" s="54" t="inlineStr">
        <is>
          <t>Jun</t>
        </is>
      </c>
      <c r="L73" s="58">
        <f>IFERROR(J73/H73,0)</f>
        <v/>
      </c>
      <c r="M73" s="56">
        <f>"Q"&amp;ROUNDUP(MONTH(B73)/3,0)</f>
        <v/>
      </c>
      <c r="N73" s="56">
        <f>MONTH(B73)</f>
        <v/>
      </c>
    </row>
    <row r="74">
      <c r="A74" s="54" t="inlineStr">
        <is>
          <t>ORD-1073</t>
        </is>
      </c>
      <c r="B74" s="55" t="n">
        <v>46187</v>
      </c>
      <c r="C74" s="54" t="inlineStr">
        <is>
          <t>Abuja</t>
        </is>
      </c>
      <c r="D74" s="54" t="inlineStr">
        <is>
          <t>Phone</t>
        </is>
      </c>
      <c r="E74" s="54" t="inlineStr">
        <is>
          <t>Mobile</t>
        </is>
      </c>
      <c r="F74" s="56" t="n">
        <v>5</v>
      </c>
      <c r="G74" s="57" t="n">
        <v>258787.22</v>
      </c>
      <c r="H74" s="57" t="n">
        <v>1293936.11</v>
      </c>
      <c r="I74" s="57" t="n">
        <v>799383.45</v>
      </c>
      <c r="J74" s="57" t="n">
        <v>494552.67</v>
      </c>
      <c r="K74" s="54" t="inlineStr">
        <is>
          <t>Jun</t>
        </is>
      </c>
      <c r="L74" s="58">
        <f>IFERROR(J74/H74,0)</f>
        <v/>
      </c>
      <c r="M74" s="56">
        <f>"Q"&amp;ROUNDUP(MONTH(B74)/3,0)</f>
        <v/>
      </c>
      <c r="N74" s="56">
        <f>MONTH(B74)</f>
        <v/>
      </c>
    </row>
    <row r="75">
      <c r="A75" s="54" t="inlineStr">
        <is>
          <t>ORD-1074</t>
        </is>
      </c>
      <c r="B75" s="55" t="n">
        <v>46189</v>
      </c>
      <c r="C75" s="54" t="inlineStr">
        <is>
          <t>Lagos</t>
        </is>
      </c>
      <c r="D75" s="54" t="inlineStr">
        <is>
          <t>Headphones</t>
        </is>
      </c>
      <c r="E75" s="54" t="inlineStr">
        <is>
          <t>Accessories</t>
        </is>
      </c>
      <c r="F75" s="56" t="n">
        <v>5</v>
      </c>
      <c r="G75" s="57" t="n">
        <v>40228.49</v>
      </c>
      <c r="H75" s="57" t="n">
        <v>201142.45</v>
      </c>
      <c r="I75" s="57" t="n">
        <v>161184.91</v>
      </c>
      <c r="J75" s="57" t="n">
        <v>39957.55</v>
      </c>
      <c r="K75" s="54" t="inlineStr">
        <is>
          <t>Jun</t>
        </is>
      </c>
      <c r="L75" s="58">
        <f>IFERROR(J75/H75,0)</f>
        <v/>
      </c>
      <c r="M75" s="56">
        <f>"Q"&amp;ROUNDUP(MONTH(B75)/3,0)</f>
        <v/>
      </c>
      <c r="N75" s="56">
        <f>MONTH(B75)</f>
        <v/>
      </c>
    </row>
    <row r="76">
      <c r="A76" s="54" t="inlineStr">
        <is>
          <t>ORD-1075</t>
        </is>
      </c>
      <c r="B76" s="55" t="n">
        <v>46192</v>
      </c>
      <c r="C76" s="54" t="inlineStr">
        <is>
          <t>Kano</t>
        </is>
      </c>
      <c r="D76" s="54" t="inlineStr">
        <is>
          <t>Laptop</t>
        </is>
      </c>
      <c r="E76" s="54" t="inlineStr">
        <is>
          <t>Computing</t>
        </is>
      </c>
      <c r="F76" s="56" t="n">
        <v>5</v>
      </c>
      <c r="G76" s="57" t="n">
        <v>492535.75</v>
      </c>
      <c r="H76" s="57" t="n">
        <v>2462678.75</v>
      </c>
      <c r="I76" s="57" t="n">
        <v>1994943.07</v>
      </c>
      <c r="J76" s="57" t="n">
        <v>467735.68</v>
      </c>
      <c r="K76" s="54" t="inlineStr">
        <is>
          <t>Jun</t>
        </is>
      </c>
      <c r="L76" s="58">
        <f>IFERROR(J76/H76,0)</f>
        <v/>
      </c>
      <c r="M76" s="56">
        <f>"Q"&amp;ROUNDUP(MONTH(B76)/3,0)</f>
        <v/>
      </c>
      <c r="N76" s="56">
        <f>MONTH(B76)</f>
        <v/>
      </c>
    </row>
    <row r="77">
      <c r="A77" s="54" t="inlineStr">
        <is>
          <t>ORD-1076</t>
        </is>
      </c>
      <c r="B77" s="55" t="n">
        <v>46194</v>
      </c>
      <c r="C77" s="54" t="inlineStr">
        <is>
          <t>Kano</t>
        </is>
      </c>
      <c r="D77" s="54" t="inlineStr">
        <is>
          <t>Smartwatch</t>
        </is>
      </c>
      <c r="E77" s="54" t="inlineStr">
        <is>
          <t>Wearables</t>
        </is>
      </c>
      <c r="F77" s="56" t="n">
        <v>3</v>
      </c>
      <c r="G77" s="57" t="n">
        <v>79853.71000000001</v>
      </c>
      <c r="H77" s="57" t="n">
        <v>239561.14</v>
      </c>
      <c r="I77" s="57" t="n">
        <v>162497.67</v>
      </c>
      <c r="J77" s="57" t="n">
        <v>77063.47</v>
      </c>
      <c r="K77" s="54" t="inlineStr">
        <is>
          <t>Jun</t>
        </is>
      </c>
      <c r="L77" s="58">
        <f>IFERROR(J77/H77,0)</f>
        <v/>
      </c>
      <c r="M77" s="56">
        <f>"Q"&amp;ROUNDUP(MONTH(B77)/3,0)</f>
        <v/>
      </c>
      <c r="N77" s="56">
        <f>MONTH(B77)</f>
        <v/>
      </c>
    </row>
    <row r="78">
      <c r="A78" s="54" t="inlineStr">
        <is>
          <t>ORD-1077</t>
        </is>
      </c>
      <c r="B78" s="55" t="n">
        <v>46196</v>
      </c>
      <c r="C78" s="54" t="inlineStr">
        <is>
          <t>Abuja</t>
        </is>
      </c>
      <c r="D78" s="54" t="inlineStr">
        <is>
          <t>Laptop</t>
        </is>
      </c>
      <c r="E78" s="54" t="inlineStr">
        <is>
          <t>Computing</t>
        </is>
      </c>
      <c r="F78" s="56" t="n">
        <v>5</v>
      </c>
      <c r="G78" s="57" t="n">
        <v>472085.87</v>
      </c>
      <c r="H78" s="57" t="n">
        <v>2360429.33</v>
      </c>
      <c r="I78" s="57" t="n">
        <v>1440146.51</v>
      </c>
      <c r="J78" s="57" t="n">
        <v>920282.8100000001</v>
      </c>
      <c r="K78" s="54" t="inlineStr">
        <is>
          <t>Jun</t>
        </is>
      </c>
      <c r="L78" s="58">
        <f>IFERROR(J78/H78,0)</f>
        <v/>
      </c>
      <c r="M78" s="56">
        <f>"Q"&amp;ROUNDUP(MONTH(B78)/3,0)</f>
        <v/>
      </c>
      <c r="N78" s="56">
        <f>MONTH(B78)</f>
        <v/>
      </c>
    </row>
    <row r="79">
      <c r="A79" s="54" t="inlineStr">
        <is>
          <t>ORD-1078</t>
        </is>
      </c>
      <c r="B79" s="55" t="n">
        <v>46199</v>
      </c>
      <c r="C79" s="54" t="inlineStr">
        <is>
          <t>Kano</t>
        </is>
      </c>
      <c r="D79" s="54" t="inlineStr">
        <is>
          <t>Headphones</t>
        </is>
      </c>
      <c r="E79" s="54" t="inlineStr">
        <is>
          <t>Accessories</t>
        </is>
      </c>
      <c r="F79" s="56" t="n">
        <v>5</v>
      </c>
      <c r="G79" s="57" t="n">
        <v>44721.08</v>
      </c>
      <c r="H79" s="57" t="n">
        <v>223605.39</v>
      </c>
      <c r="I79" s="57" t="n">
        <v>138976.01</v>
      </c>
      <c r="J79" s="57" t="n">
        <v>84629.38</v>
      </c>
      <c r="K79" s="54" t="inlineStr">
        <is>
          <t>Jun</t>
        </is>
      </c>
      <c r="L79" s="58">
        <f>IFERROR(J79/H79,0)</f>
        <v/>
      </c>
      <c r="M79" s="56">
        <f>"Q"&amp;ROUNDUP(MONTH(B79)/3,0)</f>
        <v/>
      </c>
      <c r="N79" s="56">
        <f>MONTH(B79)</f>
        <v/>
      </c>
    </row>
    <row r="80">
      <c r="A80" s="54" t="inlineStr">
        <is>
          <t>ORD-1079</t>
        </is>
      </c>
      <c r="B80" s="55" t="n">
        <v>46201</v>
      </c>
      <c r="C80" s="54" t="inlineStr">
        <is>
          <t>Lagos</t>
        </is>
      </c>
      <c r="D80" s="54" t="inlineStr">
        <is>
          <t>Headphones</t>
        </is>
      </c>
      <c r="E80" s="54" t="inlineStr">
        <is>
          <t>Accessories</t>
        </is>
      </c>
      <c r="F80" s="56" t="n">
        <v>1</v>
      </c>
      <c r="G80" s="57" t="n">
        <v>44618.48</v>
      </c>
      <c r="H80" s="57" t="n">
        <v>44618.48</v>
      </c>
      <c r="I80" s="57" t="n">
        <v>33149.31</v>
      </c>
      <c r="J80" s="57" t="n">
        <v>11469.17</v>
      </c>
      <c r="K80" s="54" t="inlineStr">
        <is>
          <t>Jun</t>
        </is>
      </c>
      <c r="L80" s="58">
        <f>IFERROR(J80/H80,0)</f>
        <v/>
      </c>
      <c r="M80" s="56">
        <f>"Q"&amp;ROUNDUP(MONTH(B80)/3,0)</f>
        <v/>
      </c>
      <c r="N80" s="56">
        <f>MONTH(B80)</f>
        <v/>
      </c>
    </row>
    <row r="81">
      <c r="A81" s="54" t="inlineStr">
        <is>
          <t>ORD-1080</t>
        </is>
      </c>
      <c r="B81" s="55" t="n">
        <v>46203</v>
      </c>
      <c r="C81" s="54" t="inlineStr">
        <is>
          <t>Lagos</t>
        </is>
      </c>
      <c r="D81" s="54" t="inlineStr">
        <is>
          <t>Phone</t>
        </is>
      </c>
      <c r="E81" s="54" t="inlineStr">
        <is>
          <t>Mobile</t>
        </is>
      </c>
      <c r="F81" s="56" t="n">
        <v>6</v>
      </c>
      <c r="G81" s="57" t="n">
        <v>289078.29</v>
      </c>
      <c r="H81" s="57" t="n">
        <v>1734469.76</v>
      </c>
      <c r="I81" s="57" t="n">
        <v>1057969.11</v>
      </c>
      <c r="J81" s="57" t="n">
        <v>676500.65</v>
      </c>
      <c r="K81" s="54" t="inlineStr">
        <is>
          <t>Jun</t>
        </is>
      </c>
      <c r="L81" s="58">
        <f>IFERROR(J81/H81,0)</f>
        <v/>
      </c>
      <c r="M81" s="56">
        <f>"Q"&amp;ROUNDUP(MONTH(B81)/3,0)</f>
        <v/>
      </c>
      <c r="N81" s="56">
        <f>MONTH(B81)</f>
        <v/>
      </c>
    </row>
    <row r="82">
      <c r="A82" s="54" t="inlineStr">
        <is>
          <t>ORD-1081</t>
        </is>
      </c>
      <c r="B82" s="55" t="n">
        <v>46205</v>
      </c>
      <c r="C82" s="54" t="inlineStr">
        <is>
          <t>Kano</t>
        </is>
      </c>
      <c r="D82" s="54" t="inlineStr">
        <is>
          <t>Phone</t>
        </is>
      </c>
      <c r="E82" s="54" t="inlineStr">
        <is>
          <t>Mobile</t>
        </is>
      </c>
      <c r="F82" s="56" t="n">
        <v>3</v>
      </c>
      <c r="G82" s="57" t="n">
        <v>280210.76</v>
      </c>
      <c r="H82" s="57" t="n">
        <v>840632.27</v>
      </c>
      <c r="I82" s="57" t="n">
        <v>662777.8199999999</v>
      </c>
      <c r="J82" s="57" t="n">
        <v>177854.45</v>
      </c>
      <c r="K82" s="54" t="inlineStr">
        <is>
          <t>Jul</t>
        </is>
      </c>
      <c r="L82" s="58">
        <f>IFERROR(J82/H82,0)</f>
        <v/>
      </c>
      <c r="M82" s="56">
        <f>"Q"&amp;ROUNDUP(MONTH(B82)/3,0)</f>
        <v/>
      </c>
      <c r="N82" s="56">
        <f>MONTH(B82)</f>
        <v/>
      </c>
    </row>
    <row r="83">
      <c r="A83" s="54" t="inlineStr">
        <is>
          <t>ORD-1082</t>
        </is>
      </c>
      <c r="B83" s="55" t="n">
        <v>46208</v>
      </c>
      <c r="C83" s="54" t="inlineStr">
        <is>
          <t>Lagos</t>
        </is>
      </c>
      <c r="D83" s="54" t="inlineStr">
        <is>
          <t>Smartwatch</t>
        </is>
      </c>
      <c r="E83" s="54" t="inlineStr">
        <is>
          <t>Wearables</t>
        </is>
      </c>
      <c r="F83" s="56" t="n">
        <v>4</v>
      </c>
      <c r="G83" s="57" t="n">
        <v>87363.36</v>
      </c>
      <c r="H83" s="57" t="n">
        <v>349453.46</v>
      </c>
      <c r="I83" s="57" t="n">
        <v>282238.23</v>
      </c>
      <c r="J83" s="57" t="n">
        <v>67215.22</v>
      </c>
      <c r="K83" s="54" t="inlineStr">
        <is>
          <t>Jul</t>
        </is>
      </c>
      <c r="L83" s="58">
        <f>IFERROR(J83/H83,0)</f>
        <v/>
      </c>
      <c r="M83" s="56">
        <f>"Q"&amp;ROUNDUP(MONTH(B83)/3,0)</f>
        <v/>
      </c>
      <c r="N83" s="56">
        <f>MONTH(B83)</f>
        <v/>
      </c>
    </row>
    <row r="84">
      <c r="A84" s="54" t="inlineStr">
        <is>
          <t>ORD-1083</t>
        </is>
      </c>
      <c r="B84" s="55" t="n">
        <v>46210</v>
      </c>
      <c r="C84" s="54" t="inlineStr">
        <is>
          <t>Ibadan</t>
        </is>
      </c>
      <c r="D84" s="54" t="inlineStr">
        <is>
          <t>Laptop</t>
        </is>
      </c>
      <c r="E84" s="54" t="inlineStr">
        <is>
          <t>Computing</t>
        </is>
      </c>
      <c r="F84" s="56" t="n">
        <v>4</v>
      </c>
      <c r="G84" s="57" t="n">
        <v>530704.79</v>
      </c>
      <c r="H84" s="57" t="n">
        <v>2122819.17</v>
      </c>
      <c r="I84" s="57" t="n">
        <v>1712798.03</v>
      </c>
      <c r="J84" s="57" t="n">
        <v>410021.14</v>
      </c>
      <c r="K84" s="54" t="inlineStr">
        <is>
          <t>Jul</t>
        </is>
      </c>
      <c r="L84" s="58">
        <f>IFERROR(J84/H84,0)</f>
        <v/>
      </c>
      <c r="M84" s="56">
        <f>"Q"&amp;ROUNDUP(MONTH(B84)/3,0)</f>
        <v/>
      </c>
      <c r="N84" s="56">
        <f>MONTH(B84)</f>
        <v/>
      </c>
    </row>
    <row r="85">
      <c r="A85" s="54" t="inlineStr">
        <is>
          <t>ORD-1084</t>
        </is>
      </c>
      <c r="B85" s="55" t="n">
        <v>46212</v>
      </c>
      <c r="C85" s="54" t="inlineStr">
        <is>
          <t>Port Harcourt</t>
        </is>
      </c>
      <c r="D85" s="54" t="inlineStr">
        <is>
          <t>Phone</t>
        </is>
      </c>
      <c r="E85" s="54" t="inlineStr">
        <is>
          <t>Mobile</t>
        </is>
      </c>
      <c r="F85" s="56" t="n">
        <v>3</v>
      </c>
      <c r="G85" s="57" t="n">
        <v>289628.97</v>
      </c>
      <c r="H85" s="57" t="n">
        <v>868886.9</v>
      </c>
      <c r="I85" s="57" t="n">
        <v>608929.53</v>
      </c>
      <c r="J85" s="57" t="n">
        <v>259957.38</v>
      </c>
      <c r="K85" s="54" t="inlineStr">
        <is>
          <t>Jul</t>
        </is>
      </c>
      <c r="L85" s="58">
        <f>IFERROR(J85/H85,0)</f>
        <v/>
      </c>
      <c r="M85" s="56">
        <f>"Q"&amp;ROUNDUP(MONTH(B85)/3,0)</f>
        <v/>
      </c>
      <c r="N85" s="56">
        <f>MONTH(B85)</f>
        <v/>
      </c>
    </row>
    <row r="86">
      <c r="A86" s="54" t="inlineStr">
        <is>
          <t>ORD-1085</t>
        </is>
      </c>
      <c r="B86" s="55" t="n">
        <v>46215</v>
      </c>
      <c r="C86" s="54" t="inlineStr">
        <is>
          <t>Lagos</t>
        </is>
      </c>
      <c r="D86" s="54" t="inlineStr">
        <is>
          <t>Tablet</t>
        </is>
      </c>
      <c r="E86" s="54" t="inlineStr">
        <is>
          <t>Mobile</t>
        </is>
      </c>
      <c r="F86" s="56" t="n">
        <v>5</v>
      </c>
      <c r="G86" s="57" t="n">
        <v>195742.85</v>
      </c>
      <c r="H86" s="57" t="n">
        <v>978714.24</v>
      </c>
      <c r="I86" s="57" t="n">
        <v>763880.5</v>
      </c>
      <c r="J86" s="57" t="n">
        <v>214833.74</v>
      </c>
      <c r="K86" s="54" t="inlineStr">
        <is>
          <t>Jul</t>
        </is>
      </c>
      <c r="L86" s="58">
        <f>IFERROR(J86/H86,0)</f>
        <v/>
      </c>
      <c r="M86" s="56">
        <f>"Q"&amp;ROUNDUP(MONTH(B86)/3,0)</f>
        <v/>
      </c>
      <c r="N86" s="56">
        <f>MONTH(B86)</f>
        <v/>
      </c>
    </row>
    <row r="87">
      <c r="A87" s="54" t="inlineStr">
        <is>
          <t>ORD-1086</t>
        </is>
      </c>
      <c r="B87" s="55" t="n">
        <v>46217</v>
      </c>
      <c r="C87" s="54" t="inlineStr">
        <is>
          <t>Lagos</t>
        </is>
      </c>
      <c r="D87" s="54" t="inlineStr">
        <is>
          <t>Tablet</t>
        </is>
      </c>
      <c r="E87" s="54" t="inlineStr">
        <is>
          <t>Mobile</t>
        </is>
      </c>
      <c r="F87" s="56" t="n">
        <v>4</v>
      </c>
      <c r="G87" s="57" t="n">
        <v>179692.63</v>
      </c>
      <c r="H87" s="57" t="n">
        <v>718770.51</v>
      </c>
      <c r="I87" s="57" t="n">
        <v>465195.18</v>
      </c>
      <c r="J87" s="57" t="n">
        <v>253575.33</v>
      </c>
      <c r="K87" s="54" t="inlineStr">
        <is>
          <t>Jul</t>
        </is>
      </c>
      <c r="L87" s="58">
        <f>IFERROR(J87/H87,0)</f>
        <v/>
      </c>
      <c r="M87" s="56">
        <f>"Q"&amp;ROUNDUP(MONTH(B87)/3,0)</f>
        <v/>
      </c>
      <c r="N87" s="56">
        <f>MONTH(B87)</f>
        <v/>
      </c>
    </row>
    <row r="88">
      <c r="A88" s="54" t="inlineStr">
        <is>
          <t>ORD-1087</t>
        </is>
      </c>
      <c r="B88" s="55" t="n">
        <v>46219</v>
      </c>
      <c r="C88" s="54" t="inlineStr">
        <is>
          <t>Lagos</t>
        </is>
      </c>
      <c r="D88" s="54" t="inlineStr">
        <is>
          <t>Smartwatch</t>
        </is>
      </c>
      <c r="E88" s="54" t="inlineStr">
        <is>
          <t>Wearables</t>
        </is>
      </c>
      <c r="F88" s="56" t="n">
        <v>3</v>
      </c>
      <c r="G88" s="57" t="n">
        <v>87412.38</v>
      </c>
      <c r="H88" s="57" t="n">
        <v>262237.14</v>
      </c>
      <c r="I88" s="57" t="n">
        <v>176758.83</v>
      </c>
      <c r="J88" s="57" t="n">
        <v>85478.31</v>
      </c>
      <c r="K88" s="54" t="inlineStr">
        <is>
          <t>Jul</t>
        </is>
      </c>
      <c r="L88" s="58">
        <f>IFERROR(J88/H88,0)</f>
        <v/>
      </c>
      <c r="M88" s="56">
        <f>"Q"&amp;ROUNDUP(MONTH(B88)/3,0)</f>
        <v/>
      </c>
      <c r="N88" s="56">
        <f>MONTH(B88)</f>
        <v/>
      </c>
    </row>
    <row r="89">
      <c r="A89" s="54" t="inlineStr">
        <is>
          <t>ORD-1088</t>
        </is>
      </c>
      <c r="B89" s="55" t="n">
        <v>46221</v>
      </c>
      <c r="C89" s="54" t="inlineStr">
        <is>
          <t>Port Harcourt</t>
        </is>
      </c>
      <c r="D89" s="54" t="inlineStr">
        <is>
          <t>Smartwatch</t>
        </is>
      </c>
      <c r="E89" s="54" t="inlineStr">
        <is>
          <t>Wearables</t>
        </is>
      </c>
      <c r="F89" s="56" t="n">
        <v>2</v>
      </c>
      <c r="G89" s="57" t="n">
        <v>88704.92</v>
      </c>
      <c r="H89" s="57" t="n">
        <v>177409.84</v>
      </c>
      <c r="I89" s="57" t="n">
        <v>119740.54</v>
      </c>
      <c r="J89" s="57" t="n">
        <v>57669.3</v>
      </c>
      <c r="K89" s="54" t="inlineStr">
        <is>
          <t>Jul</t>
        </is>
      </c>
      <c r="L89" s="58">
        <f>IFERROR(J89/H89,0)</f>
        <v/>
      </c>
      <c r="M89" s="56">
        <f>"Q"&amp;ROUNDUP(MONTH(B89)/3,0)</f>
        <v/>
      </c>
      <c r="N89" s="56">
        <f>MONTH(B89)</f>
        <v/>
      </c>
    </row>
    <row r="90">
      <c r="A90" s="54" t="inlineStr">
        <is>
          <t>ORD-1089</t>
        </is>
      </c>
      <c r="B90" s="55" t="n">
        <v>46224</v>
      </c>
      <c r="C90" s="54" t="inlineStr">
        <is>
          <t>Port Harcourt</t>
        </is>
      </c>
      <c r="D90" s="54" t="inlineStr">
        <is>
          <t>Laptop</t>
        </is>
      </c>
      <c r="E90" s="54" t="inlineStr">
        <is>
          <t>Computing</t>
        </is>
      </c>
      <c r="F90" s="56" t="n">
        <v>4</v>
      </c>
      <c r="G90" s="57" t="n">
        <v>544072.72</v>
      </c>
      <c r="H90" s="57" t="n">
        <v>2176290.87</v>
      </c>
      <c r="I90" s="57" t="n">
        <v>1472552.51</v>
      </c>
      <c r="J90" s="57" t="n">
        <v>703738.36</v>
      </c>
      <c r="K90" s="54" t="inlineStr">
        <is>
          <t>Jul</t>
        </is>
      </c>
      <c r="L90" s="58">
        <f>IFERROR(J90/H90,0)</f>
        <v/>
      </c>
      <c r="M90" s="56">
        <f>"Q"&amp;ROUNDUP(MONTH(B90)/3,0)</f>
        <v/>
      </c>
      <c r="N90" s="56">
        <f>MONTH(B90)</f>
        <v/>
      </c>
    </row>
    <row r="91">
      <c r="A91" s="54" t="inlineStr">
        <is>
          <t>ORD-1090</t>
        </is>
      </c>
      <c r="B91" s="55" t="n">
        <v>46226</v>
      </c>
      <c r="C91" s="54" t="inlineStr">
        <is>
          <t>Ibadan</t>
        </is>
      </c>
      <c r="D91" s="54" t="inlineStr">
        <is>
          <t>Smartwatch</t>
        </is>
      </c>
      <c r="E91" s="54" t="inlineStr">
        <is>
          <t>Wearables</t>
        </is>
      </c>
      <c r="F91" s="56" t="n">
        <v>4</v>
      </c>
      <c r="G91" s="57" t="n">
        <v>83326.10000000001</v>
      </c>
      <c r="H91" s="57" t="n">
        <v>333304.4</v>
      </c>
      <c r="I91" s="57" t="n">
        <v>270932.39</v>
      </c>
      <c r="J91" s="57" t="n">
        <v>62372.01</v>
      </c>
      <c r="K91" s="54" t="inlineStr">
        <is>
          <t>Jul</t>
        </is>
      </c>
      <c r="L91" s="58">
        <f>IFERROR(J91/H91,0)</f>
        <v/>
      </c>
      <c r="M91" s="56">
        <f>"Q"&amp;ROUNDUP(MONTH(B91)/3,0)</f>
        <v/>
      </c>
      <c r="N91" s="56">
        <f>MONTH(B91)</f>
        <v/>
      </c>
    </row>
    <row r="92">
      <c r="A92" s="54" t="inlineStr">
        <is>
          <t>ORD-1091</t>
        </is>
      </c>
      <c r="B92" s="55" t="n">
        <v>46228</v>
      </c>
      <c r="C92" s="54" t="inlineStr">
        <is>
          <t>Abuja</t>
        </is>
      </c>
      <c r="D92" s="54" t="inlineStr">
        <is>
          <t>Phone</t>
        </is>
      </c>
      <c r="E92" s="54" t="inlineStr">
        <is>
          <t>Mobile</t>
        </is>
      </c>
      <c r="F92" s="56" t="n">
        <v>5</v>
      </c>
      <c r="G92" s="57" t="n">
        <v>296841.31</v>
      </c>
      <c r="H92" s="57" t="n">
        <v>1484206.56</v>
      </c>
      <c r="I92" s="57" t="n">
        <v>1153976</v>
      </c>
      <c r="J92" s="57" t="n">
        <v>330230.55</v>
      </c>
      <c r="K92" s="54" t="inlineStr">
        <is>
          <t>Jul</t>
        </is>
      </c>
      <c r="L92" s="58">
        <f>IFERROR(J92/H92,0)</f>
        <v/>
      </c>
      <c r="M92" s="56">
        <f>"Q"&amp;ROUNDUP(MONTH(B92)/3,0)</f>
        <v/>
      </c>
      <c r="N92" s="56">
        <f>MONTH(B92)</f>
        <v/>
      </c>
    </row>
    <row r="93">
      <c r="A93" s="54" t="inlineStr">
        <is>
          <t>ORD-1092</t>
        </is>
      </c>
      <c r="B93" s="55" t="n">
        <v>46231</v>
      </c>
      <c r="C93" s="54" t="inlineStr">
        <is>
          <t>Kano</t>
        </is>
      </c>
      <c r="D93" s="54" t="inlineStr">
        <is>
          <t>Tablet</t>
        </is>
      </c>
      <c r="E93" s="54" t="inlineStr">
        <is>
          <t>Mobile</t>
        </is>
      </c>
      <c r="F93" s="56" t="n">
        <v>4</v>
      </c>
      <c r="G93" s="57" t="n">
        <v>184164.02</v>
      </c>
      <c r="H93" s="57" t="n">
        <v>736656.1</v>
      </c>
      <c r="I93" s="57" t="n">
        <v>567822.51</v>
      </c>
      <c r="J93" s="57" t="n">
        <v>168833.58</v>
      </c>
      <c r="K93" s="54" t="inlineStr">
        <is>
          <t>Jul</t>
        </is>
      </c>
      <c r="L93" s="58">
        <f>IFERROR(J93/H93,0)</f>
        <v/>
      </c>
      <c r="M93" s="56">
        <f>"Q"&amp;ROUNDUP(MONTH(B93)/3,0)</f>
        <v/>
      </c>
      <c r="N93" s="56">
        <f>MONTH(B93)</f>
        <v/>
      </c>
    </row>
    <row r="94">
      <c r="A94" s="54" t="inlineStr">
        <is>
          <t>ORD-1093</t>
        </is>
      </c>
      <c r="B94" s="55" t="n">
        <v>46233</v>
      </c>
      <c r="C94" s="54" t="inlineStr">
        <is>
          <t>Port Harcourt</t>
        </is>
      </c>
      <c r="D94" s="54" t="inlineStr">
        <is>
          <t>Headphones</t>
        </is>
      </c>
      <c r="E94" s="54" t="inlineStr">
        <is>
          <t>Accessories</t>
        </is>
      </c>
      <c r="F94" s="56" t="n">
        <v>1</v>
      </c>
      <c r="G94" s="57" t="n">
        <v>46942.32</v>
      </c>
      <c r="H94" s="57" t="n">
        <v>46942.32</v>
      </c>
      <c r="I94" s="57" t="n">
        <v>35806.66</v>
      </c>
      <c r="J94" s="57" t="n">
        <v>11135.66</v>
      </c>
      <c r="K94" s="54" t="inlineStr">
        <is>
          <t>Jul</t>
        </is>
      </c>
      <c r="L94" s="58">
        <f>IFERROR(J94/H94,0)</f>
        <v/>
      </c>
      <c r="M94" s="56">
        <f>"Q"&amp;ROUNDUP(MONTH(B94)/3,0)</f>
        <v/>
      </c>
      <c r="N94" s="56">
        <f>MONTH(B94)</f>
        <v/>
      </c>
    </row>
    <row r="95">
      <c r="A95" s="54" t="inlineStr">
        <is>
          <t>ORD-1094</t>
        </is>
      </c>
      <c r="B95" s="55" t="n">
        <v>46235</v>
      </c>
      <c r="C95" s="54" t="inlineStr">
        <is>
          <t>Abuja</t>
        </is>
      </c>
      <c r="D95" s="54" t="inlineStr">
        <is>
          <t>Laptop</t>
        </is>
      </c>
      <c r="E95" s="54" t="inlineStr">
        <is>
          <t>Computing</t>
        </is>
      </c>
      <c r="F95" s="56" t="n">
        <v>6</v>
      </c>
      <c r="G95" s="57" t="n">
        <v>570238.6</v>
      </c>
      <c r="H95" s="57" t="n">
        <v>3421431.62</v>
      </c>
      <c r="I95" s="57" t="n">
        <v>2433169.99</v>
      </c>
      <c r="J95" s="57" t="n">
        <v>988261.63</v>
      </c>
      <c r="K95" s="54" t="inlineStr">
        <is>
          <t>Aug</t>
        </is>
      </c>
      <c r="L95" s="58">
        <f>IFERROR(J95/H95,0)</f>
        <v/>
      </c>
      <c r="M95" s="56">
        <f>"Q"&amp;ROUNDUP(MONTH(B95)/3,0)</f>
        <v/>
      </c>
      <c r="N95" s="56">
        <f>MONTH(B95)</f>
        <v/>
      </c>
    </row>
    <row r="96">
      <c r="A96" s="54" t="inlineStr">
        <is>
          <t>ORD-1095</t>
        </is>
      </c>
      <c r="B96" s="55" t="n">
        <v>46237</v>
      </c>
      <c r="C96" s="54" t="inlineStr">
        <is>
          <t>Kano</t>
        </is>
      </c>
      <c r="D96" s="54" t="inlineStr">
        <is>
          <t>Smartwatch</t>
        </is>
      </c>
      <c r="E96" s="54" t="inlineStr">
        <is>
          <t>Wearables</t>
        </is>
      </c>
      <c r="F96" s="56" t="n">
        <v>3</v>
      </c>
      <c r="G96" s="57" t="n">
        <v>76839.69</v>
      </c>
      <c r="H96" s="57" t="n">
        <v>230519.08</v>
      </c>
      <c r="I96" s="57" t="n">
        <v>141023.91</v>
      </c>
      <c r="J96" s="57" t="n">
        <v>89495.17</v>
      </c>
      <c r="K96" s="54" t="inlineStr">
        <is>
          <t>Aug</t>
        </is>
      </c>
      <c r="L96" s="58">
        <f>IFERROR(J96/H96,0)</f>
        <v/>
      </c>
      <c r="M96" s="56">
        <f>"Q"&amp;ROUNDUP(MONTH(B96)/3,0)</f>
        <v/>
      </c>
      <c r="N96" s="56">
        <f>MONTH(B96)</f>
        <v/>
      </c>
    </row>
    <row r="97">
      <c r="A97" s="54" t="inlineStr">
        <is>
          <t>ORD-1096</t>
        </is>
      </c>
      <c r="B97" s="55" t="n">
        <v>46240</v>
      </c>
      <c r="C97" s="54" t="inlineStr">
        <is>
          <t>Ibadan</t>
        </is>
      </c>
      <c r="D97" s="54" t="inlineStr">
        <is>
          <t>Laptop</t>
        </is>
      </c>
      <c r="E97" s="54" t="inlineStr">
        <is>
          <t>Computing</t>
        </is>
      </c>
      <c r="F97" s="56" t="n">
        <v>3</v>
      </c>
      <c r="G97" s="57" t="n">
        <v>468992.58</v>
      </c>
      <c r="H97" s="57" t="n">
        <v>1406977.73</v>
      </c>
      <c r="I97" s="57" t="n">
        <v>943025.42</v>
      </c>
      <c r="J97" s="57" t="n">
        <v>463952.31</v>
      </c>
      <c r="K97" s="54" t="inlineStr">
        <is>
          <t>Aug</t>
        </is>
      </c>
      <c r="L97" s="58">
        <f>IFERROR(J97/H97,0)</f>
        <v/>
      </c>
      <c r="M97" s="56">
        <f>"Q"&amp;ROUNDUP(MONTH(B97)/3,0)</f>
        <v/>
      </c>
      <c r="N97" s="56">
        <f>MONTH(B97)</f>
        <v/>
      </c>
    </row>
    <row r="98">
      <c r="A98" s="54" t="inlineStr">
        <is>
          <t>ORD-1097</t>
        </is>
      </c>
      <c r="B98" s="55" t="n">
        <v>46242</v>
      </c>
      <c r="C98" s="54" t="inlineStr">
        <is>
          <t>Port Harcourt</t>
        </is>
      </c>
      <c r="D98" s="54" t="inlineStr">
        <is>
          <t>Tablet</t>
        </is>
      </c>
      <c r="E98" s="54" t="inlineStr">
        <is>
          <t>Mobile</t>
        </is>
      </c>
      <c r="F98" s="56" t="n">
        <v>2</v>
      </c>
      <c r="G98" s="57" t="n">
        <v>196011.78</v>
      </c>
      <c r="H98" s="57" t="n">
        <v>392023.55</v>
      </c>
      <c r="I98" s="57" t="n">
        <v>273890.4</v>
      </c>
      <c r="J98" s="57" t="n">
        <v>118133.16</v>
      </c>
      <c r="K98" s="54" t="inlineStr">
        <is>
          <t>Aug</t>
        </is>
      </c>
      <c r="L98" s="58">
        <f>IFERROR(J98/H98,0)</f>
        <v/>
      </c>
      <c r="M98" s="56">
        <f>"Q"&amp;ROUNDUP(MONTH(B98)/3,0)</f>
        <v/>
      </c>
      <c r="N98" s="56">
        <f>MONTH(B98)</f>
        <v/>
      </c>
    </row>
    <row r="99">
      <c r="A99" s="54" t="inlineStr">
        <is>
          <t>ORD-1098</t>
        </is>
      </c>
      <c r="B99" s="55" t="n">
        <v>46244</v>
      </c>
      <c r="C99" s="54" t="inlineStr">
        <is>
          <t>Kano</t>
        </is>
      </c>
      <c r="D99" s="54" t="inlineStr">
        <is>
          <t>Headphones</t>
        </is>
      </c>
      <c r="E99" s="54" t="inlineStr">
        <is>
          <t>Accessories</t>
        </is>
      </c>
      <c r="F99" s="56" t="n">
        <v>1</v>
      </c>
      <c r="G99" s="57" t="n">
        <v>45579.99</v>
      </c>
      <c r="H99" s="57" t="n">
        <v>45579.99</v>
      </c>
      <c r="I99" s="57" t="n">
        <v>29481.15</v>
      </c>
      <c r="J99" s="57" t="n">
        <v>16098.85</v>
      </c>
      <c r="K99" s="54" t="inlineStr">
        <is>
          <t>Aug</t>
        </is>
      </c>
      <c r="L99" s="58">
        <f>IFERROR(J99/H99,0)</f>
        <v/>
      </c>
      <c r="M99" s="56">
        <f>"Q"&amp;ROUNDUP(MONTH(B99)/3,0)</f>
        <v/>
      </c>
      <c r="N99" s="56">
        <f>MONTH(B99)</f>
        <v/>
      </c>
    </row>
    <row r="100">
      <c r="A100" s="54" t="inlineStr">
        <is>
          <t>ORD-1099</t>
        </is>
      </c>
      <c r="B100" s="55" t="n">
        <v>46247</v>
      </c>
      <c r="C100" s="54" t="inlineStr">
        <is>
          <t>Lagos</t>
        </is>
      </c>
      <c r="D100" s="54" t="inlineStr">
        <is>
          <t>Laptop</t>
        </is>
      </c>
      <c r="E100" s="54" t="inlineStr">
        <is>
          <t>Computing</t>
        </is>
      </c>
      <c r="F100" s="56" t="n">
        <v>5</v>
      </c>
      <c r="G100" s="57" t="n">
        <v>573779.95</v>
      </c>
      <c r="H100" s="57" t="n">
        <v>2868899.76</v>
      </c>
      <c r="I100" s="57" t="n">
        <v>2336244.36</v>
      </c>
      <c r="J100" s="57" t="n">
        <v>532655.4</v>
      </c>
      <c r="K100" s="54" t="inlineStr">
        <is>
          <t>Aug</t>
        </is>
      </c>
      <c r="L100" s="58">
        <f>IFERROR(J100/H100,0)</f>
        <v/>
      </c>
      <c r="M100" s="56">
        <f>"Q"&amp;ROUNDUP(MONTH(B100)/3,0)</f>
        <v/>
      </c>
      <c r="N100" s="56">
        <f>MONTH(B100)</f>
        <v/>
      </c>
    </row>
    <row r="101">
      <c r="A101" s="54" t="inlineStr">
        <is>
          <t>ORD-1100</t>
        </is>
      </c>
      <c r="B101" s="55" t="n">
        <v>46249</v>
      </c>
      <c r="C101" s="54" t="inlineStr">
        <is>
          <t>Lagos</t>
        </is>
      </c>
      <c r="D101" s="54" t="inlineStr">
        <is>
          <t>Smartwatch</t>
        </is>
      </c>
      <c r="E101" s="54" t="inlineStr">
        <is>
          <t>Wearables</t>
        </is>
      </c>
      <c r="F101" s="56" t="n">
        <v>3</v>
      </c>
      <c r="G101" s="57" t="n">
        <v>92909.17</v>
      </c>
      <c r="H101" s="57" t="n">
        <v>278727.5</v>
      </c>
      <c r="I101" s="57" t="n">
        <v>188754.62</v>
      </c>
      <c r="J101" s="57" t="n">
        <v>89972.87</v>
      </c>
      <c r="K101" s="54" t="inlineStr">
        <is>
          <t>Aug</t>
        </is>
      </c>
      <c r="L101" s="58">
        <f>IFERROR(J101/H101,0)</f>
        <v/>
      </c>
      <c r="M101" s="56">
        <f>"Q"&amp;ROUNDUP(MONTH(B101)/3,0)</f>
        <v/>
      </c>
      <c r="N101" s="56">
        <f>MONTH(B101)</f>
        <v/>
      </c>
    </row>
    <row r="102">
      <c r="A102" s="54" t="inlineStr">
        <is>
          <t>ORD-1101</t>
        </is>
      </c>
      <c r="B102" s="55" t="n">
        <v>46251</v>
      </c>
      <c r="C102" s="54" t="inlineStr">
        <is>
          <t>Kano</t>
        </is>
      </c>
      <c r="D102" s="54" t="inlineStr">
        <is>
          <t>Headphones</t>
        </is>
      </c>
      <c r="E102" s="54" t="inlineStr">
        <is>
          <t>Accessories</t>
        </is>
      </c>
      <c r="F102" s="56" t="n">
        <v>1</v>
      </c>
      <c r="G102" s="57" t="n">
        <v>47824.31</v>
      </c>
      <c r="H102" s="57" t="n">
        <v>47824.31</v>
      </c>
      <c r="I102" s="57" t="n">
        <v>35199.08</v>
      </c>
      <c r="J102" s="57" t="n">
        <v>12625.24</v>
      </c>
      <c r="K102" s="54" t="inlineStr">
        <is>
          <t>Aug</t>
        </is>
      </c>
      <c r="L102" s="58">
        <f>IFERROR(J102/H102,0)</f>
        <v/>
      </c>
      <c r="M102" s="56">
        <f>"Q"&amp;ROUNDUP(MONTH(B102)/3,0)</f>
        <v/>
      </c>
      <c r="N102" s="56">
        <f>MONTH(B102)</f>
        <v/>
      </c>
    </row>
    <row r="103">
      <c r="A103" s="54" t="inlineStr">
        <is>
          <t>ORD-1102</t>
        </is>
      </c>
      <c r="B103" s="55" t="n">
        <v>46253</v>
      </c>
      <c r="C103" s="54" t="inlineStr">
        <is>
          <t>Lagos</t>
        </is>
      </c>
      <c r="D103" s="54" t="inlineStr">
        <is>
          <t>Smartwatch</t>
        </is>
      </c>
      <c r="E103" s="54" t="inlineStr">
        <is>
          <t>Wearables</t>
        </is>
      </c>
      <c r="F103" s="56" t="n">
        <v>2</v>
      </c>
      <c r="G103" s="57" t="n">
        <v>82891.69</v>
      </c>
      <c r="H103" s="57" t="n">
        <v>165783.39</v>
      </c>
      <c r="I103" s="57" t="n">
        <v>131999.6</v>
      </c>
      <c r="J103" s="57" t="n">
        <v>33783.78</v>
      </c>
      <c r="K103" s="54" t="inlineStr">
        <is>
          <t>Aug</t>
        </is>
      </c>
      <c r="L103" s="58">
        <f>IFERROR(J103/H103,0)</f>
        <v/>
      </c>
      <c r="M103" s="56">
        <f>"Q"&amp;ROUNDUP(MONTH(B103)/3,0)</f>
        <v/>
      </c>
      <c r="N103" s="56">
        <f>MONTH(B103)</f>
        <v/>
      </c>
    </row>
    <row r="104">
      <c r="A104" s="54" t="inlineStr">
        <is>
          <t>ORD-1103</t>
        </is>
      </c>
      <c r="B104" s="55" t="n">
        <v>46256</v>
      </c>
      <c r="C104" s="54" t="inlineStr">
        <is>
          <t>Kano</t>
        </is>
      </c>
      <c r="D104" s="54" t="inlineStr">
        <is>
          <t>Smartwatch</t>
        </is>
      </c>
      <c r="E104" s="54" t="inlineStr">
        <is>
          <t>Wearables</t>
        </is>
      </c>
      <c r="F104" s="56" t="n">
        <v>5</v>
      </c>
      <c r="G104" s="57" t="n">
        <v>76530.69</v>
      </c>
      <c r="H104" s="57" t="n">
        <v>382653.45</v>
      </c>
      <c r="I104" s="57" t="n">
        <v>312651.1</v>
      </c>
      <c r="J104" s="57" t="n">
        <v>70002.35000000001</v>
      </c>
      <c r="K104" s="54" t="inlineStr">
        <is>
          <t>Aug</t>
        </is>
      </c>
      <c r="L104" s="58">
        <f>IFERROR(J104/H104,0)</f>
        <v/>
      </c>
      <c r="M104" s="56">
        <f>"Q"&amp;ROUNDUP(MONTH(B104)/3,0)</f>
        <v/>
      </c>
      <c r="N104" s="56">
        <f>MONTH(B104)</f>
        <v/>
      </c>
    </row>
    <row r="105">
      <c r="A105" s="54" t="inlineStr">
        <is>
          <t>ORD-1104</t>
        </is>
      </c>
      <c r="B105" s="55" t="n">
        <v>46258</v>
      </c>
      <c r="C105" s="54" t="inlineStr">
        <is>
          <t>Abuja</t>
        </is>
      </c>
      <c r="D105" s="54" t="inlineStr">
        <is>
          <t>Laptop</t>
        </is>
      </c>
      <c r="E105" s="54" t="inlineStr">
        <is>
          <t>Computing</t>
        </is>
      </c>
      <c r="F105" s="56" t="n">
        <v>6</v>
      </c>
      <c r="G105" s="57" t="n">
        <v>559037.39</v>
      </c>
      <c r="H105" s="57" t="n">
        <v>3354224.32</v>
      </c>
      <c r="I105" s="57" t="n">
        <v>2711537.12</v>
      </c>
      <c r="J105" s="57" t="n">
        <v>642687.2</v>
      </c>
      <c r="K105" s="54" t="inlineStr">
        <is>
          <t>Aug</t>
        </is>
      </c>
      <c r="L105" s="58">
        <f>IFERROR(J105/H105,0)</f>
        <v/>
      </c>
      <c r="M105" s="56">
        <f>"Q"&amp;ROUNDUP(MONTH(B105)/3,0)</f>
        <v/>
      </c>
      <c r="N105" s="56">
        <f>MONTH(B105)</f>
        <v/>
      </c>
    </row>
    <row r="106">
      <c r="A106" s="54" t="inlineStr">
        <is>
          <t>ORD-1105</t>
        </is>
      </c>
      <c r="B106" s="55" t="n">
        <v>46260</v>
      </c>
      <c r="C106" s="54" t="inlineStr">
        <is>
          <t>Port Harcourt</t>
        </is>
      </c>
      <c r="D106" s="54" t="inlineStr">
        <is>
          <t>Smartwatch</t>
        </is>
      </c>
      <c r="E106" s="54" t="inlineStr">
        <is>
          <t>Wearables</t>
        </is>
      </c>
      <c r="F106" s="56" t="n">
        <v>4</v>
      </c>
      <c r="G106" s="57" t="n">
        <v>81944.45</v>
      </c>
      <c r="H106" s="57" t="n">
        <v>327777.81</v>
      </c>
      <c r="I106" s="57" t="n">
        <v>247734.42</v>
      </c>
      <c r="J106" s="57" t="n">
        <v>80043.39</v>
      </c>
      <c r="K106" s="54" t="inlineStr">
        <is>
          <t>Aug</t>
        </is>
      </c>
      <c r="L106" s="58">
        <f>IFERROR(J106/H106,0)</f>
        <v/>
      </c>
      <c r="M106" s="56">
        <f>"Q"&amp;ROUNDUP(MONTH(B106)/3,0)</f>
        <v/>
      </c>
      <c r="N106" s="56">
        <f>MONTH(B106)</f>
        <v/>
      </c>
    </row>
    <row r="107">
      <c r="A107" s="54" t="inlineStr">
        <is>
          <t>ORD-1106</t>
        </is>
      </c>
      <c r="B107" s="55" t="n">
        <v>46263</v>
      </c>
      <c r="C107" s="54" t="inlineStr">
        <is>
          <t>Lagos</t>
        </is>
      </c>
      <c r="D107" s="54" t="inlineStr">
        <is>
          <t>Smartwatch</t>
        </is>
      </c>
      <c r="E107" s="54" t="inlineStr">
        <is>
          <t>Wearables</t>
        </is>
      </c>
      <c r="F107" s="56" t="n">
        <v>4</v>
      </c>
      <c r="G107" s="57" t="n">
        <v>86191.45</v>
      </c>
      <c r="H107" s="57" t="n">
        <v>344765.79</v>
      </c>
      <c r="I107" s="57" t="n">
        <v>239036.06</v>
      </c>
      <c r="J107" s="57" t="n">
        <v>105729.72</v>
      </c>
      <c r="K107" s="54" t="inlineStr">
        <is>
          <t>Aug</t>
        </is>
      </c>
      <c r="L107" s="58">
        <f>IFERROR(J107/H107,0)</f>
        <v/>
      </c>
      <c r="M107" s="56">
        <f>"Q"&amp;ROUNDUP(MONTH(B107)/3,0)</f>
        <v/>
      </c>
      <c r="N107" s="56">
        <f>MONTH(B107)</f>
        <v/>
      </c>
    </row>
    <row r="108">
      <c r="A108" s="54" t="inlineStr">
        <is>
          <t>ORD-1107</t>
        </is>
      </c>
      <c r="B108" s="55" t="n">
        <v>46265</v>
      </c>
      <c r="C108" s="54" t="inlineStr">
        <is>
          <t>Ibadan</t>
        </is>
      </c>
      <c r="D108" s="54" t="inlineStr">
        <is>
          <t>Tablet</t>
        </is>
      </c>
      <c r="E108" s="54" t="inlineStr">
        <is>
          <t>Mobile</t>
        </is>
      </c>
      <c r="F108" s="56" t="n">
        <v>6</v>
      </c>
      <c r="G108" s="57" t="n">
        <v>189663.7</v>
      </c>
      <c r="H108" s="57" t="n">
        <v>1137982.23</v>
      </c>
      <c r="I108" s="57" t="n">
        <v>685631.79</v>
      </c>
      <c r="J108" s="57" t="n">
        <v>452350.44</v>
      </c>
      <c r="K108" s="54" t="inlineStr">
        <is>
          <t>Aug</t>
        </is>
      </c>
      <c r="L108" s="58">
        <f>IFERROR(J108/H108,0)</f>
        <v/>
      </c>
      <c r="M108" s="56">
        <f>"Q"&amp;ROUNDUP(MONTH(B108)/3,0)</f>
        <v/>
      </c>
      <c r="N108" s="56">
        <f>MONTH(B108)</f>
        <v/>
      </c>
    </row>
    <row r="109">
      <c r="A109" s="54" t="inlineStr">
        <is>
          <t>ORD-1108</t>
        </is>
      </c>
      <c r="B109" s="55" t="n">
        <v>46267</v>
      </c>
      <c r="C109" s="54" t="inlineStr">
        <is>
          <t>Abuja</t>
        </is>
      </c>
      <c r="D109" s="54" t="inlineStr">
        <is>
          <t>Phone</t>
        </is>
      </c>
      <c r="E109" s="54" t="inlineStr">
        <is>
          <t>Mobile</t>
        </is>
      </c>
      <c r="F109" s="56" t="n">
        <v>4</v>
      </c>
      <c r="G109" s="57" t="n">
        <v>254384.56</v>
      </c>
      <c r="H109" s="57" t="n">
        <v>1017538.26</v>
      </c>
      <c r="I109" s="57" t="n">
        <v>636832.1899999999</v>
      </c>
      <c r="J109" s="57" t="n">
        <v>380706.06</v>
      </c>
      <c r="K109" s="54" t="inlineStr">
        <is>
          <t>Sep</t>
        </is>
      </c>
      <c r="L109" s="58">
        <f>IFERROR(J109/H109,0)</f>
        <v/>
      </c>
      <c r="M109" s="56">
        <f>"Q"&amp;ROUNDUP(MONTH(B109)/3,0)</f>
        <v/>
      </c>
      <c r="N109" s="56">
        <f>MONTH(B109)</f>
        <v/>
      </c>
    </row>
    <row r="110">
      <c r="A110" s="54" t="inlineStr">
        <is>
          <t>ORD-1109</t>
        </is>
      </c>
      <c r="B110" s="55" t="n">
        <v>46269</v>
      </c>
      <c r="C110" s="54" t="inlineStr">
        <is>
          <t>Ibadan</t>
        </is>
      </c>
      <c r="D110" s="54" t="inlineStr">
        <is>
          <t>Laptop</t>
        </is>
      </c>
      <c r="E110" s="54" t="inlineStr">
        <is>
          <t>Computing</t>
        </is>
      </c>
      <c r="F110" s="56" t="n">
        <v>3</v>
      </c>
      <c r="G110" s="57" t="n">
        <v>530404.42</v>
      </c>
      <c r="H110" s="57" t="n">
        <v>1591213.27</v>
      </c>
      <c r="I110" s="57" t="n">
        <v>1291552.74</v>
      </c>
      <c r="J110" s="57" t="n">
        <v>299660.53</v>
      </c>
      <c r="K110" s="54" t="inlineStr">
        <is>
          <t>Sep</t>
        </is>
      </c>
      <c r="L110" s="58">
        <f>IFERROR(J110/H110,0)</f>
        <v/>
      </c>
      <c r="M110" s="56">
        <f>"Q"&amp;ROUNDUP(MONTH(B110)/3,0)</f>
        <v/>
      </c>
      <c r="N110" s="56">
        <f>MONTH(B110)</f>
        <v/>
      </c>
    </row>
    <row r="111">
      <c r="A111" s="54" t="inlineStr">
        <is>
          <t>ORD-1110</t>
        </is>
      </c>
      <c r="B111" s="55" t="n">
        <v>46272</v>
      </c>
      <c r="C111" s="54" t="inlineStr">
        <is>
          <t>Lagos</t>
        </is>
      </c>
      <c r="D111" s="54" t="inlineStr">
        <is>
          <t>Laptop</t>
        </is>
      </c>
      <c r="E111" s="54" t="inlineStr">
        <is>
          <t>Computing</t>
        </is>
      </c>
      <c r="F111" s="56" t="n">
        <v>1</v>
      </c>
      <c r="G111" s="57" t="n">
        <v>566001.17</v>
      </c>
      <c r="H111" s="57" t="n">
        <v>566001.17</v>
      </c>
      <c r="I111" s="57" t="n">
        <v>367442.91</v>
      </c>
      <c r="J111" s="57" t="n">
        <v>198558.26</v>
      </c>
      <c r="K111" s="54" t="inlineStr">
        <is>
          <t>Sep</t>
        </is>
      </c>
      <c r="L111" s="58">
        <f>IFERROR(J111/H111,0)</f>
        <v/>
      </c>
      <c r="M111" s="56">
        <f>"Q"&amp;ROUNDUP(MONTH(B111)/3,0)</f>
        <v/>
      </c>
      <c r="N111" s="56">
        <f>MONTH(B111)</f>
        <v/>
      </c>
    </row>
    <row r="112">
      <c r="A112" s="54" t="inlineStr">
        <is>
          <t>ORD-1111</t>
        </is>
      </c>
      <c r="B112" s="55" t="n">
        <v>46274</v>
      </c>
      <c r="C112" s="54" t="inlineStr">
        <is>
          <t>Kano</t>
        </is>
      </c>
      <c r="D112" s="54" t="inlineStr">
        <is>
          <t>Headphones</t>
        </is>
      </c>
      <c r="E112" s="54" t="inlineStr">
        <is>
          <t>Accessories</t>
        </is>
      </c>
      <c r="F112" s="56" t="n">
        <v>5</v>
      </c>
      <c r="G112" s="57" t="n">
        <v>50074.69</v>
      </c>
      <c r="H112" s="57" t="n">
        <v>250373.46</v>
      </c>
      <c r="I112" s="57" t="n">
        <v>152601.42</v>
      </c>
      <c r="J112" s="57" t="n">
        <v>97772.03999999999</v>
      </c>
      <c r="K112" s="54" t="inlineStr">
        <is>
          <t>Sep</t>
        </is>
      </c>
      <c r="L112" s="58">
        <f>IFERROR(J112/H112,0)</f>
        <v/>
      </c>
      <c r="M112" s="56">
        <f>"Q"&amp;ROUNDUP(MONTH(B112)/3,0)</f>
        <v/>
      </c>
      <c r="N112" s="56">
        <f>MONTH(B112)</f>
        <v/>
      </c>
    </row>
    <row r="113">
      <c r="A113" s="54" t="inlineStr">
        <is>
          <t>ORD-1112</t>
        </is>
      </c>
      <c r="B113" s="55" t="n">
        <v>46276</v>
      </c>
      <c r="C113" s="54" t="inlineStr">
        <is>
          <t>Port Harcourt</t>
        </is>
      </c>
      <c r="D113" s="54" t="inlineStr">
        <is>
          <t>Smartwatch</t>
        </is>
      </c>
      <c r="E113" s="54" t="inlineStr">
        <is>
          <t>Wearables</t>
        </is>
      </c>
      <c r="F113" s="56" t="n">
        <v>3</v>
      </c>
      <c r="G113" s="57" t="n">
        <v>93549.96000000001</v>
      </c>
      <c r="H113" s="57" t="n">
        <v>280649.88</v>
      </c>
      <c r="I113" s="57" t="n">
        <v>184010.29</v>
      </c>
      <c r="J113" s="57" t="n">
        <v>96639.59</v>
      </c>
      <c r="K113" s="54" t="inlineStr">
        <is>
          <t>Sep</t>
        </is>
      </c>
      <c r="L113" s="58">
        <f>IFERROR(J113/H113,0)</f>
        <v/>
      </c>
      <c r="M113" s="56">
        <f>"Q"&amp;ROUNDUP(MONTH(B113)/3,0)</f>
        <v/>
      </c>
      <c r="N113" s="56">
        <f>MONTH(B113)</f>
        <v/>
      </c>
    </row>
    <row r="114">
      <c r="A114" s="54" t="inlineStr">
        <is>
          <t>ORD-1113</t>
        </is>
      </c>
      <c r="B114" s="55" t="n">
        <v>46279</v>
      </c>
      <c r="C114" s="54" t="inlineStr">
        <is>
          <t>Abuja</t>
        </is>
      </c>
      <c r="D114" s="54" t="inlineStr">
        <is>
          <t>Headphones</t>
        </is>
      </c>
      <c r="E114" s="54" t="inlineStr">
        <is>
          <t>Accessories</t>
        </is>
      </c>
      <c r="F114" s="56" t="n">
        <v>1</v>
      </c>
      <c r="G114" s="57" t="n">
        <v>45249.46</v>
      </c>
      <c r="H114" s="57" t="n">
        <v>45249.46</v>
      </c>
      <c r="I114" s="57" t="n">
        <v>33415.26</v>
      </c>
      <c r="J114" s="57" t="n">
        <v>11834.19</v>
      </c>
      <c r="K114" s="54" t="inlineStr">
        <is>
          <t>Sep</t>
        </is>
      </c>
      <c r="L114" s="58">
        <f>IFERROR(J114/H114,0)</f>
        <v/>
      </c>
      <c r="M114" s="56">
        <f>"Q"&amp;ROUNDUP(MONTH(B114)/3,0)</f>
        <v/>
      </c>
      <c r="N114" s="56">
        <f>MONTH(B114)</f>
        <v/>
      </c>
    </row>
    <row r="115">
      <c r="A115" s="54" t="inlineStr">
        <is>
          <t>ORD-1114</t>
        </is>
      </c>
      <c r="B115" s="55" t="n">
        <v>46281</v>
      </c>
      <c r="C115" s="54" t="inlineStr">
        <is>
          <t>Abuja</t>
        </is>
      </c>
      <c r="D115" s="54" t="inlineStr">
        <is>
          <t>Smartwatch</t>
        </is>
      </c>
      <c r="E115" s="54" t="inlineStr">
        <is>
          <t>Wearables</t>
        </is>
      </c>
      <c r="F115" s="56" t="n">
        <v>6</v>
      </c>
      <c r="G115" s="57" t="n">
        <v>86720.00999999999</v>
      </c>
      <c r="H115" s="57" t="n">
        <v>520320.07</v>
      </c>
      <c r="I115" s="57" t="n">
        <v>415347.98</v>
      </c>
      <c r="J115" s="57" t="n">
        <v>104972.1</v>
      </c>
      <c r="K115" s="54" t="inlineStr">
        <is>
          <t>Sep</t>
        </is>
      </c>
      <c r="L115" s="58">
        <f>IFERROR(J115/H115,0)</f>
        <v/>
      </c>
      <c r="M115" s="56">
        <f>"Q"&amp;ROUNDUP(MONTH(B115)/3,0)</f>
        <v/>
      </c>
      <c r="N115" s="56">
        <f>MONTH(B115)</f>
        <v/>
      </c>
    </row>
    <row r="116">
      <c r="A116" s="54" t="inlineStr">
        <is>
          <t>ORD-1115</t>
        </is>
      </c>
      <c r="B116" s="55" t="n">
        <v>46283</v>
      </c>
      <c r="C116" s="54" t="inlineStr">
        <is>
          <t>Ibadan</t>
        </is>
      </c>
      <c r="D116" s="54" t="inlineStr">
        <is>
          <t>Tablet</t>
        </is>
      </c>
      <c r="E116" s="54" t="inlineStr">
        <is>
          <t>Mobile</t>
        </is>
      </c>
      <c r="F116" s="56" t="n">
        <v>4</v>
      </c>
      <c r="G116" s="57" t="n">
        <v>210916.83</v>
      </c>
      <c r="H116" s="57" t="n">
        <v>843667.3199999999</v>
      </c>
      <c r="I116" s="57" t="n">
        <v>516940.32</v>
      </c>
      <c r="J116" s="57" t="n">
        <v>326726.99</v>
      </c>
      <c r="K116" s="54" t="inlineStr">
        <is>
          <t>Sep</t>
        </is>
      </c>
      <c r="L116" s="58">
        <f>IFERROR(J116/H116,0)</f>
        <v/>
      </c>
      <c r="M116" s="56">
        <f>"Q"&amp;ROUNDUP(MONTH(B116)/3,0)</f>
        <v/>
      </c>
      <c r="N116" s="56">
        <f>MONTH(B116)</f>
        <v/>
      </c>
    </row>
    <row r="117">
      <c r="A117" s="54" t="inlineStr">
        <is>
          <t>ORD-1116</t>
        </is>
      </c>
      <c r="B117" s="55" t="n">
        <v>46285</v>
      </c>
      <c r="C117" s="54" t="inlineStr">
        <is>
          <t>Lagos</t>
        </is>
      </c>
      <c r="D117" s="54" t="inlineStr">
        <is>
          <t>Headphones</t>
        </is>
      </c>
      <c r="E117" s="54" t="inlineStr">
        <is>
          <t>Accessories</t>
        </is>
      </c>
      <c r="F117" s="56" t="n">
        <v>5</v>
      </c>
      <c r="G117" s="57" t="n">
        <v>42595.72</v>
      </c>
      <c r="H117" s="57" t="n">
        <v>212978.58</v>
      </c>
      <c r="I117" s="57" t="n">
        <v>136601.62</v>
      </c>
      <c r="J117" s="57" t="n">
        <v>76376.96000000001</v>
      </c>
      <c r="K117" s="54" t="inlineStr">
        <is>
          <t>Sep</t>
        </is>
      </c>
      <c r="L117" s="58">
        <f>IFERROR(J117/H117,0)</f>
        <v/>
      </c>
      <c r="M117" s="56">
        <f>"Q"&amp;ROUNDUP(MONTH(B117)/3,0)</f>
        <v/>
      </c>
      <c r="N117" s="56">
        <f>MONTH(B117)</f>
        <v/>
      </c>
    </row>
    <row r="118">
      <c r="A118" s="54" t="inlineStr">
        <is>
          <t>ORD-1117</t>
        </is>
      </c>
      <c r="B118" s="55" t="n">
        <v>46288</v>
      </c>
      <c r="C118" s="54" t="inlineStr">
        <is>
          <t>Abuja</t>
        </is>
      </c>
      <c r="D118" s="54" t="inlineStr">
        <is>
          <t>Phone</t>
        </is>
      </c>
      <c r="E118" s="54" t="inlineStr">
        <is>
          <t>Mobile</t>
        </is>
      </c>
      <c r="F118" s="56" t="n">
        <v>4</v>
      </c>
      <c r="G118" s="57" t="n">
        <v>285621.69</v>
      </c>
      <c r="H118" s="57" t="n">
        <v>1142486.76</v>
      </c>
      <c r="I118" s="57" t="n">
        <v>705030.4300000001</v>
      </c>
      <c r="J118" s="57" t="n">
        <v>437456.33</v>
      </c>
      <c r="K118" s="54" t="inlineStr">
        <is>
          <t>Sep</t>
        </is>
      </c>
      <c r="L118" s="58">
        <f>IFERROR(J118/H118,0)</f>
        <v/>
      </c>
      <c r="M118" s="56">
        <f>"Q"&amp;ROUNDUP(MONTH(B118)/3,0)</f>
        <v/>
      </c>
      <c r="N118" s="56">
        <f>MONTH(B118)</f>
        <v/>
      </c>
    </row>
    <row r="119">
      <c r="A119" s="54" t="inlineStr">
        <is>
          <t>ORD-1118</t>
        </is>
      </c>
      <c r="B119" s="55" t="n">
        <v>46290</v>
      </c>
      <c r="C119" s="54" t="inlineStr">
        <is>
          <t>Abuja</t>
        </is>
      </c>
      <c r="D119" s="54" t="inlineStr">
        <is>
          <t>Headphones</t>
        </is>
      </c>
      <c r="E119" s="54" t="inlineStr">
        <is>
          <t>Accessories</t>
        </is>
      </c>
      <c r="F119" s="56" t="n">
        <v>3</v>
      </c>
      <c r="G119" s="57" t="n">
        <v>47140.15</v>
      </c>
      <c r="H119" s="57" t="n">
        <v>141420.44</v>
      </c>
      <c r="I119" s="57" t="n">
        <v>101531.56</v>
      </c>
      <c r="J119" s="57" t="n">
        <v>39888.88</v>
      </c>
      <c r="K119" s="54" t="inlineStr">
        <is>
          <t>Sep</t>
        </is>
      </c>
      <c r="L119" s="58">
        <f>IFERROR(J119/H119,0)</f>
        <v/>
      </c>
      <c r="M119" s="56">
        <f>"Q"&amp;ROUNDUP(MONTH(B119)/3,0)</f>
        <v/>
      </c>
      <c r="N119" s="56">
        <f>MONTH(B119)</f>
        <v/>
      </c>
    </row>
    <row r="120">
      <c r="A120" s="54" t="inlineStr">
        <is>
          <t>ORD-1119</t>
        </is>
      </c>
      <c r="B120" s="55" t="n">
        <v>46292</v>
      </c>
      <c r="C120" s="54" t="inlineStr">
        <is>
          <t>Kano</t>
        </is>
      </c>
      <c r="D120" s="54" t="inlineStr">
        <is>
          <t>Smartwatch</t>
        </is>
      </c>
      <c r="E120" s="54" t="inlineStr">
        <is>
          <t>Wearables</t>
        </is>
      </c>
      <c r="F120" s="56" t="n">
        <v>4</v>
      </c>
      <c r="G120" s="57" t="n">
        <v>87096.75</v>
      </c>
      <c r="H120" s="57" t="n">
        <v>348387</v>
      </c>
      <c r="I120" s="57" t="n">
        <v>229799.79</v>
      </c>
      <c r="J120" s="57" t="n">
        <v>118587.21</v>
      </c>
      <c r="K120" s="54" t="inlineStr">
        <is>
          <t>Sep</t>
        </is>
      </c>
      <c r="L120" s="58">
        <f>IFERROR(J120/H120,0)</f>
        <v/>
      </c>
      <c r="M120" s="56">
        <f>"Q"&amp;ROUNDUP(MONTH(B120)/3,0)</f>
        <v/>
      </c>
      <c r="N120" s="56">
        <f>MONTH(B120)</f>
        <v/>
      </c>
    </row>
    <row r="121">
      <c r="A121" s="54" t="inlineStr">
        <is>
          <t>ORD-1120</t>
        </is>
      </c>
      <c r="B121" s="55" t="n">
        <v>46295</v>
      </c>
      <c r="C121" s="54" t="inlineStr">
        <is>
          <t>Kano</t>
        </is>
      </c>
      <c r="D121" s="54" t="inlineStr">
        <is>
          <t>Tablet</t>
        </is>
      </c>
      <c r="E121" s="54" t="inlineStr">
        <is>
          <t>Mobile</t>
        </is>
      </c>
      <c r="F121" s="56" t="n">
        <v>5</v>
      </c>
      <c r="G121" s="57" t="n">
        <v>210088.25</v>
      </c>
      <c r="H121" s="57" t="n">
        <v>1050441.26</v>
      </c>
      <c r="I121" s="57" t="n">
        <v>726548.8199999999</v>
      </c>
      <c r="J121" s="57" t="n">
        <v>323892.43</v>
      </c>
      <c r="K121" s="54" t="inlineStr">
        <is>
          <t>Sep</t>
        </is>
      </c>
      <c r="L121" s="58">
        <f>IFERROR(J121/H121,0)</f>
        <v/>
      </c>
      <c r="M121" s="56">
        <f>"Q"&amp;ROUNDUP(MONTH(B121)/3,0)</f>
        <v/>
      </c>
      <c r="N121" s="56">
        <f>MONTH(B121)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8B57"/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62" customWidth="1" min="3" max="3"/>
    <col width="16" customWidth="1" min="4" max="4"/>
    <col width="14" customWidth="1" min="5" max="5"/>
    <col width="12" customWidth="1" min="6" max="6"/>
  </cols>
  <sheetData>
    <row r="1">
      <c r="B1" s="19" t="inlineStr">
        <is>
          <t>DATA QUALITY &amp; RECONCILIATION CHECKS</t>
        </is>
      </c>
      <c r="C1" s="19" t="n"/>
      <c r="D1" s="19" t="n"/>
      <c r="E1" s="19" t="n"/>
      <c r="F1" s="19" t="n"/>
    </row>
    <row r="2">
      <c r="B2" s="19" t="n"/>
      <c r="C2" s="19" t="n"/>
      <c r="D2" s="19" t="n"/>
      <c r="E2" s="19" t="n"/>
      <c r="F2" s="19" t="n"/>
    </row>
    <row r="4">
      <c r="B4" s="59" t="inlineStr">
        <is>
          <t>#</t>
        </is>
      </c>
      <c r="C4" s="59" t="inlineStr">
        <is>
          <t>Check</t>
        </is>
      </c>
      <c r="D4" s="59" t="inlineStr">
        <is>
          <t>Result</t>
        </is>
      </c>
      <c r="E4" s="59" t="inlineStr">
        <is>
          <t>Expected</t>
        </is>
      </c>
      <c r="F4" s="59" t="inlineStr">
        <is>
          <t>Status</t>
        </is>
      </c>
    </row>
    <row r="5">
      <c r="B5" s="27" t="n">
        <v>1</v>
      </c>
      <c r="C5" s="23" t="inlineStr">
        <is>
          <t>Records loaded</t>
        </is>
      </c>
      <c r="D5" s="26">
        <f>COUNTA(d_Order)</f>
        <v/>
      </c>
      <c r="E5" s="60" t="n">
        <v>120</v>
      </c>
      <c r="F5" s="36">
        <f>IF(D5=E5,"PASS","FAIL")</f>
        <v/>
      </c>
    </row>
    <row r="6">
      <c r="B6" s="27" t="n">
        <v>2</v>
      </c>
      <c r="C6" s="23" t="inlineStr">
        <is>
          <t>Blank cells in the 11 source columns</t>
        </is>
      </c>
      <c r="D6" s="26">
        <f>COUNTBLANK('Sales Data'!A2:K121)</f>
        <v/>
      </c>
      <c r="E6" s="60" t="n">
        <v>0</v>
      </c>
      <c r="F6" s="36">
        <f>IF(D6=E6,"PASS","FAIL")</f>
        <v/>
      </c>
    </row>
    <row r="7">
      <c r="B7" s="27" t="n">
        <v>3</v>
      </c>
      <c r="C7" s="23" t="inlineStr">
        <is>
          <t>Duplicate Order IDs</t>
        </is>
      </c>
      <c r="D7" s="26">
        <f>SUMPRODUCT((COUNTIF(d_Order,d_Order)&gt;1)*1)</f>
        <v/>
      </c>
      <c r="E7" s="60" t="n">
        <v>0</v>
      </c>
      <c r="F7" s="36">
        <f>IF(D7=E7,"PASS","FAIL")</f>
        <v/>
      </c>
    </row>
    <row r="8">
      <c r="B8" s="27" t="n">
        <v>4</v>
      </c>
      <c r="C8" s="23" t="inlineStr">
        <is>
          <t>Rows where Revenue ≠ Quantity × Unit Price (tolerance ₦1)</t>
        </is>
      </c>
      <c r="D8" s="26">
        <f>SUMPRODUCT((ABS(d_Qty*d_Price-d_Rev)&gt;1)*1)</f>
        <v/>
      </c>
      <c r="E8" s="60" t="n">
        <v>0</v>
      </c>
      <c r="F8" s="36">
        <f>IF(D8=E8,"PASS","FAIL")</f>
        <v/>
      </c>
    </row>
    <row r="9">
      <c r="B9" s="27" t="n">
        <v>5</v>
      </c>
      <c r="C9" s="23" t="inlineStr">
        <is>
          <t>Rows where Profit ≠ Revenue − Cost (tolerance ₦1)</t>
        </is>
      </c>
      <c r="D9" s="26">
        <f>SUMPRODUCT((ABS(d_Rev-d_Cost-d_Profit)&gt;1)*1)</f>
        <v/>
      </c>
      <c r="E9" s="60" t="n">
        <v>0</v>
      </c>
      <c r="F9" s="36">
        <f>IF(D9=E9,"PASS","FAIL")</f>
        <v/>
      </c>
    </row>
    <row r="10">
      <c r="B10" s="27" t="n">
        <v>6</v>
      </c>
      <c r="C10" s="23" t="inlineStr">
        <is>
          <t>Zero or negative quantities / prices</t>
        </is>
      </c>
      <c r="D10" s="26">
        <f>COUNTIF(d_Qty,"&lt;=0")+COUNTIF(d_Price,"&lt;=0")</f>
        <v/>
      </c>
      <c r="E10" s="60" t="n">
        <v>0</v>
      </c>
      <c r="F10" s="36">
        <f>IF(D10=E10,"PASS","FAIL")</f>
        <v/>
      </c>
    </row>
    <row r="11">
      <c r="B11" s="27" t="n">
        <v>7</v>
      </c>
      <c r="C11" s="23" t="inlineStr">
        <is>
          <t>Month label does not match the order date</t>
        </is>
      </c>
      <c r="D11" s="26">
        <f>SUMPRODUCT((TEXT(d_Date,"mmm")&lt;&gt;d_Month)*1)</f>
        <v/>
      </c>
      <c r="E11" s="60" t="n">
        <v>0</v>
      </c>
      <c r="F11" s="36">
        <f>IF(D11=E11,"PASS","FAIL")</f>
        <v/>
      </c>
    </row>
    <row r="12">
      <c r="B12" s="27" t="n">
        <v>8</v>
      </c>
      <c r="C12" s="23" t="inlineStr">
        <is>
          <t>Order dates still carrying a time-of-day stamp</t>
        </is>
      </c>
      <c r="D12" s="26">
        <f>SUMPRODUCT((d_Date&lt;&gt;INT(d_Date))*1)</f>
        <v/>
      </c>
      <c r="E12" s="60" t="n">
        <v>0</v>
      </c>
      <c r="F12" s="36">
        <f>IF(D12=E12,"PASS","FAIL")</f>
        <v/>
      </c>
    </row>
    <row r="13">
      <c r="B13" s="27" t="n">
        <v>9</v>
      </c>
      <c r="C13" s="23" t="inlineStr">
        <is>
          <t>Revenue: product, region and month totals vs raw data (₦ difference)</t>
        </is>
      </c>
      <c r="D13" s="26">
        <f>ROUND(ABS(Analysis!D11-SUM(d_Rev))+ABS(Analysis!D20-SUM(d_Rev))+ABS(Analysis!D33-SUM(d_Rev)),0)</f>
        <v/>
      </c>
      <c r="E13" s="60" t="n">
        <v>0</v>
      </c>
      <c r="F13" s="36">
        <f>IF(D13=E13,"PASS","FAIL")</f>
        <v/>
      </c>
    </row>
    <row r="14">
      <c r="B14" s="27" t="n">
        <v>10</v>
      </c>
      <c r="C14" s="23" t="inlineStr">
        <is>
          <t>Profit: product, region and month totals vs raw data (₦ difference)</t>
        </is>
      </c>
      <c r="D14" s="26">
        <f>ROUND(ABS(Analysis!E11-SUM(d_Profit))+ABS(Analysis!E20-SUM(d_Profit))+ABS(Analysis!E33-SUM(d_Profit)),0)</f>
        <v/>
      </c>
      <c r="E14" s="60" t="n">
        <v>0</v>
      </c>
      <c r="F14" s="36">
        <f>IF(D14=E14,"PASS","FAIL")</f>
        <v/>
      </c>
    </row>
    <row r="15">
      <c r="B15" s="27" t="n">
        <v>11</v>
      </c>
      <c r="C15" s="23" t="inlineStr">
        <is>
          <t>Order counts: product, region and month totals vs raw data</t>
        </is>
      </c>
      <c r="D15" s="26">
        <f>ABS(Analysis!H11-COUNTA(d_Order))+ABS(Analysis!H20-COUNTA(d_Order))+ABS(Analysis!H33-COUNTA(d_Order))</f>
        <v/>
      </c>
      <c r="E15" s="60" t="n">
        <v>0</v>
      </c>
      <c r="F15" s="36">
        <f>IF(D15=E15,"PASS","FAIL")</f>
        <v/>
      </c>
    </row>
    <row r="17" ht="28" customHeight="1">
      <c r="B17" s="61">
        <f>IF(COUNTIF(F5:F15,"FAIL")=0,"✔ ALL "&amp;COUNTA(F5:F15)&amp;" CHECKS PASSED","⚠ "&amp;COUNTIF(F5:F15,"FAIL")&amp;" CHECK(S) FAILED — review above")</f>
        <v/>
      </c>
      <c r="C17" s="61" t="n"/>
      <c r="D17" s="61" t="n"/>
      <c r="E17" s="61" t="n"/>
      <c r="F17" s="61" t="n"/>
    </row>
    <row r="19">
      <c r="B19" s="62" t="inlineStr">
        <is>
          <t>DATA CLEANING LOG</t>
        </is>
      </c>
    </row>
    <row r="20" ht="30" customHeight="1">
      <c r="B20" s="63" t="inlineStr">
        <is>
          <t>1.</t>
        </is>
      </c>
      <c r="C20" s="64" t="inlineStr">
        <is>
          <t>102 of 120 order dates carried spurious time-of-day stamps (e.g. 03-Jan-2026 06:51); normalised to whole dates so daily/monthly grouping is exact.</t>
        </is>
      </c>
      <c r="D20" s="64" t="n"/>
      <c r="E20" s="64" t="n"/>
      <c r="F20" s="64" t="n"/>
    </row>
    <row r="21" ht="30" customHeight="1">
      <c r="B21" s="63" t="inlineStr">
        <is>
          <t>2.</t>
        </is>
      </c>
      <c r="C21" s="64" t="inlineStr">
        <is>
          <t>Added helper columns to the sales table: Margin %, Quarter and Month No (all formulas).</t>
        </is>
      </c>
      <c r="D21" s="64" t="n"/>
      <c r="E21" s="64" t="n"/>
      <c r="F21" s="64" t="n"/>
    </row>
    <row r="22" ht="30" customHeight="1">
      <c r="B22" s="63" t="inlineStr">
        <is>
          <t>3.</t>
        </is>
      </c>
      <c r="C22" s="64" t="inlineStr">
        <is>
          <t>Converted the data range into an Excel Table (SalesTable) and created named ranges (d_Rev, d_Region, …) so every formula reads clearly.</t>
        </is>
      </c>
      <c r="D22" s="64" t="n"/>
      <c r="E22" s="64" t="n"/>
      <c r="F22" s="64" t="n"/>
    </row>
    <row r="23" ht="30" customHeight="1">
      <c r="B23" s="63" t="inlineStr">
        <is>
          <t>4.</t>
        </is>
      </c>
      <c r="C23" s="64" t="inlineStr">
        <is>
          <t>Replaced every hard-coded number in the original Dashboard / Analysis sheets with live formulas that recalculate from the raw data.</t>
        </is>
      </c>
      <c r="D23" s="64" t="n"/>
      <c r="E23" s="64" t="n"/>
      <c r="F23" s="64" t="n"/>
    </row>
    <row r="24" ht="30" customHeight="1">
      <c r="B24" s="63" t="inlineStr">
        <is>
          <t>5.</t>
        </is>
      </c>
      <c r="C24" s="64" t="inlineStr">
        <is>
          <t>Validated Revenue = Qty × Price and Profit = Revenue − Cost for all rows (max difference ₦0.03, rounding only).</t>
        </is>
      </c>
      <c r="D24" s="64" t="n"/>
      <c r="E24" s="64" t="n"/>
      <c r="F24" s="64" t="n"/>
    </row>
  </sheetData>
  <mergeCells count="7">
    <mergeCell ref="C22:F22"/>
    <mergeCell ref="C23:F23"/>
    <mergeCell ref="C20:F20"/>
    <mergeCell ref="B1:F2"/>
    <mergeCell ref="C21:F21"/>
    <mergeCell ref="C24:F24"/>
    <mergeCell ref="B17:F17"/>
  </mergeCells>
  <conditionalFormatting sqref="F5:F15">
    <cfRule type="cellIs" priority="1" operator="equal" dxfId="2">
      <formula>"PASS"</formula>
    </cfRule>
    <cfRule type="cellIs" priority="2" operator="equal" dxfId="3">
      <formula>"FAIL"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2284C"/>
    <outlinePr summaryBelow="1" summaryRight="1"/>
    <pageSetUpPr/>
  </sheetPr>
  <dimension ref="B1:C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5" customWidth="1" min="3" max="3"/>
  </cols>
  <sheetData>
    <row r="1">
      <c r="B1" s="19" t="inlineStr">
        <is>
          <t>SALES DATA ANALYSIS &amp; INTERACTIVE DASHBOARD  |  Project Read Me</t>
        </is>
      </c>
      <c r="C1" s="19" t="n"/>
    </row>
    <row r="2">
      <c r="B2" s="19" t="n"/>
      <c r="C2" s="19" t="n"/>
    </row>
    <row r="4" ht="22" customHeight="1">
      <c r="B4" s="20" t="inlineStr">
        <is>
          <t>PROJECT OVERVIEW</t>
        </is>
      </c>
      <c r="C4" s="20" t="n"/>
    </row>
    <row r="5" ht="22" customHeight="1">
      <c r="B5" s="65" t="inlineStr">
        <is>
          <t>Prepared by</t>
        </is>
      </c>
      <c r="C5" s="66" t="inlineStr">
        <is>
          <t>Williams Favour Ifunanya</t>
        </is>
      </c>
    </row>
    <row r="6" ht="22" customHeight="1">
      <c r="B6" s="65" t="inlineStr">
        <is>
          <t>Tool</t>
        </is>
      </c>
      <c r="C6" s="66" t="inlineStr">
        <is>
          <t>Microsoft Excel (formulas, named ranges, data validation, conditional formatting, charts)</t>
        </is>
      </c>
    </row>
    <row r="7" ht="34" customHeight="1">
      <c r="B7" s="65" t="inlineStr">
        <is>
          <t>Objective</t>
        </is>
      </c>
      <c r="C7" s="66" t="inlineStr">
        <is>
          <t>Turn raw sales records into a decision-ready, interactive performance dashboard that shows what sells, where, when and how profitably.</t>
        </is>
      </c>
    </row>
    <row r="8" ht="34" customHeight="1">
      <c r="B8" s="65" t="inlineStr">
        <is>
          <t>Dataset</t>
        </is>
      </c>
      <c r="C8" s="66" t="inlineStr">
        <is>
          <t>120 sales orders · Jan–Sep 2026 · 5 regions (Abuja, Lagos, Ibadan, Kano, Port Harcourt) · 5 products · 11 source fields · values in Nigerian Naira (₦).</t>
        </is>
      </c>
    </row>
    <row r="9" ht="34" customHeight="1">
      <c r="B9" s="65" t="inlineStr">
        <is>
          <t>Business questions</t>
        </is>
      </c>
      <c r="C9" s="66" t="inlineStr">
        <is>
          <t>Which products and regions drive revenue and profit? Where are margins strongest or weakest? How does revenue move month to month? Where is the biggest profit opportunity?</t>
        </is>
      </c>
    </row>
    <row r="11" ht="22" customHeight="1">
      <c r="B11" s="20" t="inlineStr">
        <is>
          <t>HOW TO USE</t>
        </is>
      </c>
      <c r="C11" s="20" t="n"/>
    </row>
    <row r="12" ht="22" customHeight="1">
      <c r="B12" s="65" t="inlineStr">
        <is>
          <t>Filter the dashboard</t>
        </is>
      </c>
      <c r="C12" s="66" t="inlineStr">
        <is>
          <t>On the Dashboard, tap the yellow Region / Product cells and pick a value. Every KPI card and chart updates.</t>
        </is>
      </c>
    </row>
    <row r="13" ht="34" customHeight="1">
      <c r="B13" s="65" t="inlineStr">
        <is>
          <t>Run scenarios</t>
        </is>
      </c>
      <c r="C13" s="66" t="inlineStr">
        <is>
          <t>Analysis → section 7 (What-If Simulator) and Insights → Assumptions: change the yellow cells to test margin or growth scenarios.</t>
        </is>
      </c>
    </row>
    <row r="14" ht="22" customHeight="1">
      <c r="B14" s="65" t="inlineStr">
        <is>
          <t>Colour code</t>
        </is>
      </c>
      <c r="C14" s="66" t="inlineStr">
        <is>
          <t>Blue text = input you can change · Black = formula · Yellow fill = editable cell.</t>
        </is>
      </c>
    </row>
    <row r="16" ht="22" customHeight="1">
      <c r="B16" s="20" t="inlineStr">
        <is>
          <t>SHEET GUIDE</t>
        </is>
      </c>
      <c r="C16" s="20" t="n"/>
    </row>
    <row r="17" ht="22" customHeight="1">
      <c r="B17" s="65" t="inlineStr">
        <is>
          <t>Dashboard</t>
        </is>
      </c>
      <c r="C17" s="66" t="inlineStr">
        <is>
          <t>Filterable KPI cards, 4 charts and auto-generated key takeaways.</t>
        </is>
      </c>
    </row>
    <row r="18" ht="34" customHeight="1">
      <c r="B18" s="65" t="inlineStr">
        <is>
          <t>Analysis</t>
        </is>
      </c>
      <c r="C18" s="66" t="inlineStr">
        <is>
          <t>Product, region and monthly performance; region × product revenue and margin heatmaps; top 10 orders; what-if simulator.</t>
        </is>
      </c>
    </row>
    <row r="19" ht="22" customHeight="1">
      <c r="B19" s="65" t="inlineStr">
        <is>
          <t>Insights</t>
        </is>
      </c>
      <c r="C19" s="66" t="inlineStr">
        <is>
          <t>Eight formula-generated findings and six recommendations with illustrative profit upside.</t>
        </is>
      </c>
    </row>
    <row r="20" ht="22" customHeight="1">
      <c r="B20" s="65" t="inlineStr">
        <is>
          <t>Sales Data</t>
        </is>
      </c>
      <c r="C20" s="66" t="inlineStr">
        <is>
          <t>Cleaned transaction table (SalesTable) with helper columns.</t>
        </is>
      </c>
    </row>
    <row r="21" ht="22" customHeight="1">
      <c r="B21" s="65" t="inlineStr">
        <is>
          <t>Data Checks</t>
        </is>
      </c>
      <c r="C21" s="66" t="inlineStr">
        <is>
          <t>11 automated validation and reconciliation checks plus the cleaning log.</t>
        </is>
      </c>
    </row>
    <row r="22" ht="22" customHeight="1">
      <c r="B22" s="65" t="inlineStr">
        <is>
          <t>Chart Data / Lists</t>
        </is>
      </c>
      <c r="C22" s="66" t="inlineStr">
        <is>
          <t>Supporting tables that feed the charts and dropdowns.</t>
        </is>
      </c>
    </row>
    <row r="24" ht="22" customHeight="1">
      <c r="B24" s="20" t="inlineStr">
        <is>
          <t>EXCEL SKILLS DEMONSTRATED</t>
        </is>
      </c>
      <c r="C24" s="20" t="n"/>
    </row>
    <row r="25" ht="22" customHeight="1">
      <c r="B25" s="65" t="inlineStr">
        <is>
          <t>Formulas</t>
        </is>
      </c>
      <c r="C25" s="66" t="inlineStr">
        <is>
          <t>SUMIFS, COUNTIFS, INDEX/MATCH, RANK, LARGE, SUMPRODUCT, IFERROR, TEXT, wildcard criteria for “All” filters</t>
        </is>
      </c>
    </row>
    <row r="26" ht="22" customHeight="1">
      <c r="B26" s="65" t="inlineStr">
        <is>
          <t>Modelling</t>
        </is>
      </c>
      <c r="C26" s="66" t="inlineStr">
        <is>
          <t>Named ranges, Excel Table, input/assumption cells, scenario (what-if) analysis, reconciliation checks</t>
        </is>
      </c>
    </row>
    <row r="27" ht="22" customHeight="1">
      <c r="B27" s="65" t="inlineStr">
        <is>
          <t>Visualisation</t>
        </is>
      </c>
      <c r="C27" s="66" t="inlineStr">
        <is>
          <t>Interactive dashboard, KPI cards, charts, data bars, colour-scale heatmaps, dropdown controls</t>
        </is>
      </c>
    </row>
    <row r="28" ht="22" customHeight="1">
      <c r="B28" s="65" t="inlineStr">
        <is>
          <t>Analysis</t>
        </is>
      </c>
      <c r="C28" s="66" t="inlineStr">
        <is>
          <t>Pareto / concentration analysis, margin analysis, month-on-month growth, ranking, regional × product mix</t>
        </is>
      </c>
    </row>
    <row r="30" ht="22" customHeight="1">
      <c r="B30" s="20" t="inlineStr">
        <is>
          <t>HEADLINE RESULTS</t>
        </is>
      </c>
      <c r="C30" s="20" t="n"/>
    </row>
    <row r="31" ht="22" customHeight="1">
      <c r="B31" s="65" t="inlineStr">
        <is>
          <t>Scale</t>
        </is>
      </c>
      <c r="C31" s="66" t="inlineStr">
        <is>
          <t>₦95.4M revenue and ₦27.2M profit at a 28.6% margin across 120 orders.</t>
        </is>
      </c>
    </row>
    <row r="32" ht="34" customHeight="1">
      <c r="B32" s="65" t="inlineStr">
        <is>
          <t>Product mix</t>
        </is>
      </c>
      <c r="C32" s="66" t="inlineStr">
        <is>
          <t>Laptops generate 48.7% of revenue but earn the thinnest margin (27.1%); each +1 point of laptop margin is worth about ₦464,659 in profit.</t>
        </is>
      </c>
    </row>
    <row r="33" ht="34" customHeight="1">
      <c r="B33" s="65" t="inlineStr">
        <is>
          <t>Regions</t>
        </is>
      </c>
      <c r="C33" s="66" t="inlineStr">
        <is>
          <t>Abuja leads on revenue (₦26.3M); Port Harcourt has the best margin (33.0%) on the smallest revenue base; Ibadan is weakest on margin (25.2%).</t>
        </is>
      </c>
    </row>
    <row r="35" ht="22" customHeight="1">
      <c r="B35" s="20" t="inlineStr">
        <is>
          <t>CV BULLETS (copy &amp; paste)</t>
        </is>
      </c>
      <c r="C35" s="20" t="n"/>
    </row>
    <row r="36" ht="49" customHeight="1">
      <c r="B36" s="65" t="inlineStr">
        <is>
          <t>Bullet 1</t>
        </is>
      </c>
      <c r="C36" s="66" t="inlineStr">
        <is>
          <t>Built an interactive Excel sales dashboard (dropdown filters, KPI cards, 4 charts) analysing ₦95.4M revenue across 120 orders, 5 regions and 5 product lines using SUMIFS, INDEX/MATCH, named ranges and data validation.</t>
        </is>
      </c>
    </row>
    <row r="37" ht="34" customHeight="1">
      <c r="B37" s="65" t="inlineStr">
        <is>
          <t>Bullet 2</t>
        </is>
      </c>
      <c r="C37" s="66" t="inlineStr">
        <is>
          <t>Cleaned and validated the dataset (102 timestamped dates normalised) and built 11 automated reconciliation checks, with every dashboard figure formula-driven rather than hard-coded.</t>
        </is>
      </c>
    </row>
    <row r="38" ht="34" customHeight="1">
      <c r="B38" s="65" t="inlineStr">
        <is>
          <t>Bullet 3</t>
        </is>
      </c>
      <c r="C38" s="66" t="inlineStr">
        <is>
          <t>Identified that Laptops drive 48.7% of revenue at the lowest margin (27.1%) and quantified the profit upside of margin improvements through a scenario simulator and region × product heatmaps.</t>
        </is>
      </c>
    </row>
    <row r="39" ht="34" customHeight="1">
      <c r="B39" s="65" t="inlineStr">
        <is>
          <t>Bullet 4</t>
        </is>
      </c>
      <c r="C39" s="66" t="inlineStr">
        <is>
          <t>Translated analysis into six prioritised, data-backed business recommendations covering pricing, regional margin gaps, product bundling and monthly demand monitoring.</t>
        </is>
      </c>
    </row>
    <row r="41" ht="22" customHeight="1">
      <c r="B41" s="20" t="inlineStr">
        <is>
          <t>PORTFOLIO SUMMARY</t>
        </is>
      </c>
      <c r="C41" s="20" t="n"/>
    </row>
    <row r="42" ht="49" customHeight="1">
      <c r="B42" s="65" t="inlineStr">
        <is>
          <t>Short description</t>
        </is>
      </c>
      <c r="C42" s="66" t="inlineStr">
        <is>
          <t>An end-to-end Excel analytics project: raw sales data was cleaned, validated and modelled into a filterable dashboard with automated insights and a what-if simulator, surfacing a 49% revenue dependence on one product line and clear margin-improvement opportunities.</t>
        </is>
      </c>
    </row>
    <row r="44" ht="22" customHeight="1">
      <c r="B44" s="20" t="inlineStr">
        <is>
          <t>IMPORTANT NOTE</t>
        </is>
      </c>
      <c r="C44" s="20" t="n"/>
    </row>
    <row r="45" ht="34" customHeight="1">
      <c r="B45" s="65" t="inlineStr">
        <is>
          <t>Data disclaimer</t>
        </is>
      </c>
      <c r="C45" s="66" t="inlineStr">
        <is>
          <t>This is a portfolio project built on a sample dataset created for demonstration purposes. It does not represent a real company.</t>
        </is>
      </c>
    </row>
  </sheetData>
  <mergeCells count="9">
    <mergeCell ref="B24:C24"/>
    <mergeCell ref="B16:C16"/>
    <mergeCell ref="B30:C30"/>
    <mergeCell ref="B44:C44"/>
    <mergeCell ref="B11:C11"/>
    <mergeCell ref="B1:C2"/>
    <mergeCell ref="B41:C41"/>
    <mergeCell ref="B35:C35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2" customWidth="1" min="4" max="4"/>
    <col width="10" customWidth="1" min="5" max="5"/>
  </cols>
  <sheetData>
    <row r="1">
      <c r="A1" s="62" t="inlineStr">
        <is>
          <t>CHART DATA — feeds Dashboard charts (responds to dropdown filters). Values in ₦ million.</t>
        </is>
      </c>
    </row>
    <row r="3">
      <c r="A3" s="53" t="inlineStr">
        <is>
          <t>Product</t>
        </is>
      </c>
      <c r="B3" s="53" t="inlineStr">
        <is>
          <t>Revenue (₦M)</t>
        </is>
      </c>
      <c r="C3" s="53" t="inlineStr">
        <is>
          <t>Profit (₦M)</t>
        </is>
      </c>
      <c r="D3" s="53" t="inlineStr">
        <is>
          <t>Margin %</t>
        </is>
      </c>
    </row>
    <row r="4">
      <c r="A4" s="54" t="inlineStr">
        <is>
          <t>Laptop</t>
        </is>
      </c>
      <c r="B4" s="67">
        <f>SUMIFS(d_Rev,d_Product,A4,d_Product,crit_P,d_Region,crit_R)/1000000</f>
        <v/>
      </c>
      <c r="C4" s="67">
        <f>SUMIFS(d_Profit,d_Product,A4,d_Product,crit_P,d_Region,crit_R)/1000000</f>
        <v/>
      </c>
      <c r="D4" s="68">
        <f>IFERROR(C4/B4,0)</f>
        <v/>
      </c>
    </row>
    <row r="5">
      <c r="A5" s="54" t="inlineStr">
        <is>
          <t>Tablet</t>
        </is>
      </c>
      <c r="B5" s="67">
        <f>SUMIFS(d_Rev,d_Product,A5,d_Product,crit_P,d_Region,crit_R)/1000000</f>
        <v/>
      </c>
      <c r="C5" s="67">
        <f>SUMIFS(d_Profit,d_Product,A5,d_Product,crit_P,d_Region,crit_R)/1000000</f>
        <v/>
      </c>
      <c r="D5" s="68">
        <f>IFERROR(C5/B5,0)</f>
        <v/>
      </c>
    </row>
    <row r="6">
      <c r="A6" s="54" t="inlineStr">
        <is>
          <t>Phone</t>
        </is>
      </c>
      <c r="B6" s="67">
        <f>SUMIFS(d_Rev,d_Product,A6,d_Product,crit_P,d_Region,crit_R)/1000000</f>
        <v/>
      </c>
      <c r="C6" s="67">
        <f>SUMIFS(d_Profit,d_Product,A6,d_Product,crit_P,d_Region,crit_R)/1000000</f>
        <v/>
      </c>
      <c r="D6" s="68">
        <f>IFERROR(C6/B6,0)</f>
        <v/>
      </c>
    </row>
    <row r="7">
      <c r="A7" s="54" t="inlineStr">
        <is>
          <t>Smartwatch</t>
        </is>
      </c>
      <c r="B7" s="67">
        <f>SUMIFS(d_Rev,d_Product,A7,d_Product,crit_P,d_Region,crit_R)/1000000</f>
        <v/>
      </c>
      <c r="C7" s="67">
        <f>SUMIFS(d_Profit,d_Product,A7,d_Product,crit_P,d_Region,crit_R)/1000000</f>
        <v/>
      </c>
      <c r="D7" s="68">
        <f>IFERROR(C7/B7,0)</f>
        <v/>
      </c>
    </row>
    <row r="8">
      <c r="A8" s="54" t="inlineStr">
        <is>
          <t>Headphones</t>
        </is>
      </c>
      <c r="B8" s="67">
        <f>SUMIFS(d_Rev,d_Product,A8,d_Product,crit_P,d_Region,crit_R)/1000000</f>
        <v/>
      </c>
      <c r="C8" s="67">
        <f>SUMIFS(d_Profit,d_Product,A8,d_Product,crit_P,d_Region,crit_R)/1000000</f>
        <v/>
      </c>
      <c r="D8" s="68">
        <f>IFERROR(C8/B8,0)</f>
        <v/>
      </c>
    </row>
    <row r="11">
      <c r="A11" s="53" t="inlineStr">
        <is>
          <t>Region</t>
        </is>
      </c>
      <c r="B11" s="53" t="inlineStr">
        <is>
          <t>Revenue (₦M)</t>
        </is>
      </c>
      <c r="C11" s="53" t="inlineStr">
        <is>
          <t>Profit (₦M)</t>
        </is>
      </c>
      <c r="D11" s="53" t="inlineStr">
        <is>
          <t>Margin %</t>
        </is>
      </c>
    </row>
    <row r="12">
      <c r="A12" s="54" t="inlineStr">
        <is>
          <t>Abuja</t>
        </is>
      </c>
      <c r="B12" s="67">
        <f>SUMIFS(d_Rev,d_Region,A12,d_Region,crit_R,d_Product,crit_P)/1000000</f>
        <v/>
      </c>
      <c r="C12" s="67">
        <f>SUMIFS(d_Profit,d_Region,A12,d_Region,crit_R,d_Product,crit_P)/1000000</f>
        <v/>
      </c>
      <c r="D12" s="68">
        <f>IFERROR(C12/B12,0)</f>
        <v/>
      </c>
    </row>
    <row r="13">
      <c r="A13" s="54" t="inlineStr">
        <is>
          <t>Lagos</t>
        </is>
      </c>
      <c r="B13" s="67">
        <f>SUMIFS(d_Rev,d_Region,A13,d_Region,crit_R,d_Product,crit_P)/1000000</f>
        <v/>
      </c>
      <c r="C13" s="67">
        <f>SUMIFS(d_Profit,d_Region,A13,d_Region,crit_R,d_Product,crit_P)/1000000</f>
        <v/>
      </c>
      <c r="D13" s="68">
        <f>IFERROR(C13/B13,0)</f>
        <v/>
      </c>
    </row>
    <row r="14">
      <c r="A14" s="54" t="inlineStr">
        <is>
          <t>Ibadan</t>
        </is>
      </c>
      <c r="B14" s="67">
        <f>SUMIFS(d_Rev,d_Region,A14,d_Region,crit_R,d_Product,crit_P)/1000000</f>
        <v/>
      </c>
      <c r="C14" s="67">
        <f>SUMIFS(d_Profit,d_Region,A14,d_Region,crit_R,d_Product,crit_P)/1000000</f>
        <v/>
      </c>
      <c r="D14" s="68">
        <f>IFERROR(C14/B14,0)</f>
        <v/>
      </c>
    </row>
    <row r="15">
      <c r="A15" s="54" t="inlineStr">
        <is>
          <t>Kano</t>
        </is>
      </c>
      <c r="B15" s="67">
        <f>SUMIFS(d_Rev,d_Region,A15,d_Region,crit_R,d_Product,crit_P)/1000000</f>
        <v/>
      </c>
      <c r="C15" s="67">
        <f>SUMIFS(d_Profit,d_Region,A15,d_Region,crit_R,d_Product,crit_P)/1000000</f>
        <v/>
      </c>
      <c r="D15" s="68">
        <f>IFERROR(C15/B15,0)</f>
        <v/>
      </c>
    </row>
    <row r="16">
      <c r="A16" s="54" t="inlineStr">
        <is>
          <t>Port Harcourt</t>
        </is>
      </c>
      <c r="B16" s="67">
        <f>SUMIFS(d_Rev,d_Region,A16,d_Region,crit_R,d_Product,crit_P)/1000000</f>
        <v/>
      </c>
      <c r="C16" s="67">
        <f>SUMIFS(d_Profit,d_Region,A16,d_Region,crit_R,d_Product,crit_P)/1000000</f>
        <v/>
      </c>
      <c r="D16" s="68">
        <f>IFERROR(C16/B16,0)</f>
        <v/>
      </c>
    </row>
    <row r="19">
      <c r="A19" s="53" t="inlineStr">
        <is>
          <t>Month</t>
        </is>
      </c>
      <c r="B19" s="53" t="inlineStr">
        <is>
          <t>Revenue (₦M)</t>
        </is>
      </c>
      <c r="C19" s="53" t="inlineStr">
        <is>
          <t>Profit (₦M)</t>
        </is>
      </c>
      <c r="D19" s="53" t="inlineStr">
        <is>
          <t>Margin %</t>
        </is>
      </c>
      <c r="E19" s="53" t="inlineStr">
        <is>
          <t>Month No</t>
        </is>
      </c>
    </row>
    <row r="20">
      <c r="A20" s="54" t="inlineStr">
        <is>
          <t>Jan</t>
        </is>
      </c>
      <c r="B20" s="67">
        <f>SUMIFS(d_Rev,d_MonthNo,E20,d_Region,crit_R,d_Product,crit_P)/1000000</f>
        <v/>
      </c>
      <c r="C20" s="67">
        <f>SUMIFS(d_Profit,d_MonthNo,E20,d_Region,crit_R,d_Product,crit_P)/1000000</f>
        <v/>
      </c>
      <c r="D20" s="68">
        <f>IFERROR(C20/B20,0)</f>
        <v/>
      </c>
      <c r="E20" s="54" t="n">
        <v>1</v>
      </c>
    </row>
    <row r="21">
      <c r="A21" s="54" t="inlineStr">
        <is>
          <t>Feb</t>
        </is>
      </c>
      <c r="B21" s="67">
        <f>SUMIFS(d_Rev,d_MonthNo,E21,d_Region,crit_R,d_Product,crit_P)/1000000</f>
        <v/>
      </c>
      <c r="C21" s="67">
        <f>SUMIFS(d_Profit,d_MonthNo,E21,d_Region,crit_R,d_Product,crit_P)/1000000</f>
        <v/>
      </c>
      <c r="D21" s="68">
        <f>IFERROR(C21/B21,0)</f>
        <v/>
      </c>
      <c r="E21" s="54" t="n">
        <v>2</v>
      </c>
    </row>
    <row r="22">
      <c r="A22" s="54" t="inlineStr">
        <is>
          <t>Mar</t>
        </is>
      </c>
      <c r="B22" s="67">
        <f>SUMIFS(d_Rev,d_MonthNo,E22,d_Region,crit_R,d_Product,crit_P)/1000000</f>
        <v/>
      </c>
      <c r="C22" s="67">
        <f>SUMIFS(d_Profit,d_MonthNo,E22,d_Region,crit_R,d_Product,crit_P)/1000000</f>
        <v/>
      </c>
      <c r="D22" s="68">
        <f>IFERROR(C22/B22,0)</f>
        <v/>
      </c>
      <c r="E22" s="54" t="n">
        <v>3</v>
      </c>
    </row>
    <row r="23">
      <c r="A23" s="54" t="inlineStr">
        <is>
          <t>Apr</t>
        </is>
      </c>
      <c r="B23" s="67">
        <f>SUMIFS(d_Rev,d_MonthNo,E23,d_Region,crit_R,d_Product,crit_P)/1000000</f>
        <v/>
      </c>
      <c r="C23" s="67">
        <f>SUMIFS(d_Profit,d_MonthNo,E23,d_Region,crit_R,d_Product,crit_P)/1000000</f>
        <v/>
      </c>
      <c r="D23" s="68">
        <f>IFERROR(C23/B23,0)</f>
        <v/>
      </c>
      <c r="E23" s="54" t="n">
        <v>4</v>
      </c>
    </row>
    <row r="24">
      <c r="A24" s="54" t="inlineStr">
        <is>
          <t>May</t>
        </is>
      </c>
      <c r="B24" s="67">
        <f>SUMIFS(d_Rev,d_MonthNo,E24,d_Region,crit_R,d_Product,crit_P)/1000000</f>
        <v/>
      </c>
      <c r="C24" s="67">
        <f>SUMIFS(d_Profit,d_MonthNo,E24,d_Region,crit_R,d_Product,crit_P)/1000000</f>
        <v/>
      </c>
      <c r="D24" s="68">
        <f>IFERROR(C24/B24,0)</f>
        <v/>
      </c>
      <c r="E24" s="54" t="n">
        <v>5</v>
      </c>
    </row>
    <row r="25">
      <c r="A25" s="54" t="inlineStr">
        <is>
          <t>Jun</t>
        </is>
      </c>
      <c r="B25" s="67">
        <f>SUMIFS(d_Rev,d_MonthNo,E25,d_Region,crit_R,d_Product,crit_P)/1000000</f>
        <v/>
      </c>
      <c r="C25" s="67">
        <f>SUMIFS(d_Profit,d_MonthNo,E25,d_Region,crit_R,d_Product,crit_P)/1000000</f>
        <v/>
      </c>
      <c r="D25" s="68">
        <f>IFERROR(C25/B25,0)</f>
        <v/>
      </c>
      <c r="E25" s="54" t="n">
        <v>6</v>
      </c>
    </row>
    <row r="26">
      <c r="A26" s="54" t="inlineStr">
        <is>
          <t>Jul</t>
        </is>
      </c>
      <c r="B26" s="67">
        <f>SUMIFS(d_Rev,d_MonthNo,E26,d_Region,crit_R,d_Product,crit_P)/1000000</f>
        <v/>
      </c>
      <c r="C26" s="67">
        <f>SUMIFS(d_Profit,d_MonthNo,E26,d_Region,crit_R,d_Product,crit_P)/1000000</f>
        <v/>
      </c>
      <c r="D26" s="68">
        <f>IFERROR(C26/B26,0)</f>
        <v/>
      </c>
      <c r="E26" s="54" t="n">
        <v>7</v>
      </c>
    </row>
    <row r="27">
      <c r="A27" s="54" t="inlineStr">
        <is>
          <t>Aug</t>
        </is>
      </c>
      <c r="B27" s="67">
        <f>SUMIFS(d_Rev,d_MonthNo,E27,d_Region,crit_R,d_Product,crit_P)/1000000</f>
        <v/>
      </c>
      <c r="C27" s="67">
        <f>SUMIFS(d_Profit,d_MonthNo,E27,d_Region,crit_R,d_Product,crit_P)/1000000</f>
        <v/>
      </c>
      <c r="D27" s="68">
        <f>IFERROR(C27/B27,0)</f>
        <v/>
      </c>
      <c r="E27" s="54" t="n">
        <v>8</v>
      </c>
    </row>
    <row r="28">
      <c r="A28" s="54" t="inlineStr">
        <is>
          <t>Sep</t>
        </is>
      </c>
      <c r="B28" s="67">
        <f>SUMIFS(d_Rev,d_MonthNo,E28,d_Region,crit_R,d_Product,crit_P)/1000000</f>
        <v/>
      </c>
      <c r="C28" s="67">
        <f>SUMIFS(d_Profit,d_MonthNo,E28,d_Region,crit_R,d_Product,crit_P)/1000000</f>
        <v/>
      </c>
      <c r="D28" s="68">
        <f>IFERROR(C28/B28,0)</f>
        <v/>
      </c>
      <c r="E28" s="54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5B1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16" customWidth="1" min="3" max="3"/>
    <col width="3" customWidth="1" min="4" max="4"/>
    <col width="22" customWidth="1" min="5" max="5"/>
    <col width="18" customWidth="1" min="6" max="6"/>
  </cols>
  <sheetData>
    <row r="1">
      <c r="A1" s="69" t="inlineStr">
        <is>
          <t>Regions</t>
        </is>
      </c>
      <c r="C1" s="69" t="inlineStr">
        <is>
          <t>Products</t>
        </is>
      </c>
      <c r="E1" s="69" t="inlineStr">
        <is>
          <t>Filter criteria (feed Dashboard formulas)</t>
        </is>
      </c>
      <c r="F1" s="70" t="n"/>
    </row>
    <row r="2">
      <c r="A2" s="54" t="inlineStr">
        <is>
          <t>All Regions</t>
        </is>
      </c>
      <c r="C2" s="54" t="inlineStr">
        <is>
          <t>All Products</t>
        </is>
      </c>
      <c r="E2" s="54" t="inlineStr">
        <is>
          <t>Region criterion</t>
        </is>
      </c>
      <c r="F2" s="54">
        <f>IF(Dashboard!C5="All Regions","*",Dashboard!C5)</f>
        <v/>
      </c>
    </row>
    <row r="3">
      <c r="A3" s="54" t="inlineStr">
        <is>
          <t>Abuja</t>
        </is>
      </c>
      <c r="C3" s="54" t="inlineStr">
        <is>
          <t>Laptop</t>
        </is>
      </c>
      <c r="E3" s="54" t="inlineStr">
        <is>
          <t>Product criterion</t>
        </is>
      </c>
      <c r="F3" s="54">
        <f>IF(Dashboard!G5="All Products","*",Dashboard!G5)</f>
        <v/>
      </c>
    </row>
    <row r="4">
      <c r="A4" s="54" t="inlineStr">
        <is>
          <t>Lagos</t>
        </is>
      </c>
      <c r="C4" s="54" t="inlineStr">
        <is>
          <t>Tablet</t>
        </is>
      </c>
    </row>
    <row r="5">
      <c r="A5" s="54" t="inlineStr">
        <is>
          <t>Ibadan</t>
        </is>
      </c>
      <c r="C5" s="54" t="inlineStr">
        <is>
          <t>Phone</t>
        </is>
      </c>
      <c r="E5" s="51" t="inlineStr">
        <is>
          <t>"*" = wildcard that matches every value when "All" is selected.</t>
        </is>
      </c>
    </row>
    <row r="6">
      <c r="A6" s="54" t="inlineStr">
        <is>
          <t>Kano</t>
        </is>
      </c>
      <c r="C6" s="54" t="inlineStr">
        <is>
          <t>Smartwatch</t>
        </is>
      </c>
    </row>
    <row r="7">
      <c r="A7" s="54" t="inlineStr">
        <is>
          <t>Port Harcourt</t>
        </is>
      </c>
      <c r="C7" s="54" t="inlineStr">
        <is>
          <t>Headphones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2026-10-08T12:14:21Z</dcterms:created>
  <dcterms:modified xmlns:dcterms="http://purl.org/dc/terms/" xmlns:xsi="http://www.w3.org/2001/XMLSchema-instance" xsi:type="dcterms:W3CDTF">2026-10-08T12:14:22Z</dcterms:modified>
</cp:coreProperties>
</file>