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ashboard" sheetId="2" state="visible" r:id="rId4"/>
    <sheet name="Insights" sheetId="3" state="visible" r:id="rId5"/>
    <sheet name="What-If Lab" sheetId="4" state="visible" r:id="rId6"/>
    <sheet name="Sales Data" sheetId="5" state="visible" r:id="rId7"/>
    <sheet name="Quality &amp; Method" sheetId="6" state="visible" r:id="rId8"/>
  </sheets>
  <definedNames>
    <definedName function="false" hidden="true" localSheetId="4" name="_xlnm._FilterDatabase" vbProcedure="false">'Sales Data'!$A$1:$R$161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<sst xmlns="http://schemas.openxmlformats.org/spreadsheetml/2006/main" count="1067" uniqueCount="347">
  <si>
    <t xml:space="preserve">WHERE THE NAIRA HIDES</t>
  </si>
  <si>
    <t xml:space="preserve">Sales Intelligence Workbook · Williams Favour Ifunanya · Favour's Analytics &amp; Research</t>
  </si>
  <si>
    <t xml:space="preserve">Portfolio project · Synthetic data (160 orders, Jan–Sep 2026) · Excel + AI-assisted workflow with human validation</t>
  </si>
  <si>
    <t xml:space="preserve">NET REVENUE</t>
  </si>
  <si>
    <t xml:space="preserve">TOTAL PROFIT</t>
  </si>
  <si>
    <t xml:space="preserve">PROFIT MARGIN</t>
  </si>
  <si>
    <t xml:space="preserve">AVG ORDER VALUE</t>
  </si>
  <si>
    <t xml:space="preserve">AVG RATING</t>
  </si>
  <si>
    <t xml:space="preserve">THE BUSINESS QUESTION</t>
  </si>
  <si>
    <t xml:space="preserve">A small electronics business needs to know where profit is made and lost across products, regions, channels and months, and which decisions are worth acting on first.</t>
  </si>
  <si>
    <t xml:space="preserve">WHAT THE DATA SAYS (live formulas)</t>
  </si>
  <si>
    <t xml:space="preserve">THREE RECOMMENDATIONS (tested in the What-If Lab)</t>
  </si>
  <si>
    <t xml:space="preserve">Make accessories the attach play</t>
  </si>
  <si>
    <t xml:space="preserve">De-risk concentration and slow months</t>
  </si>
  <si>
    <t xml:space="preserve">Push under-sold products in the most laptop-dependent region and time campaigns and stock ahead of the weakest months.</t>
  </si>
  <si>
    <t xml:space="preserve">WORKBOOK GUIDE (tap to jump)</t>
  </si>
  <si>
    <t xml:space="preserve">Dashboard</t>
  </si>
  <si>
    <t xml:space="preserve">Interactive KPIs and charts with Region, Product, Channel filters</t>
  </si>
  <si>
    <t xml:space="preserve">Insights</t>
  </si>
  <si>
    <t xml:space="preserve">Product, region, discount, segment, channel, month and order-size analysis</t>
  </si>
  <si>
    <t xml:space="preserve">What-If Lab</t>
  </si>
  <si>
    <t xml:space="preserve">Change the levers and see the profit impact and sensitivity</t>
  </si>
  <si>
    <t xml:space="preserve">Sales Data</t>
  </si>
  <si>
    <t xml:space="preserve">160 transactions with calculated columns (filters on)</t>
  </si>
  <si>
    <t xml:space="preserve">Quality &amp; Method</t>
  </si>
  <si>
    <t xml:space="preserve">Reconciliation checks, improvements, limitations, AI disclosure</t>
  </si>
  <si>
    <t xml:space="preserve">Data note: synthetic dataset created for demonstration and portfolio practice; not real client work. AI assisted with structure, drafting and checks; the analyst validated all outputs.</t>
  </si>
  <si>
    <t xml:space="preserve">SALES INTELLIGENCE DASHBOARD</t>
  </si>
  <si>
    <t xml:space="preserve">Synthetic dataset · 160 orders · Jan–Sep 2026 · Use the yellow dropdowns to filter every KPI and chart</t>
  </si>
  <si>
    <t xml:space="preserve">REGION</t>
  </si>
  <si>
    <t xml:space="preserve">All</t>
  </si>
  <si>
    <t xml:space="preserve">PRODUCT</t>
  </si>
  <si>
    <t xml:space="preserve">CHANNEL</t>
  </si>
  <si>
    <t xml:space="preserve">filter helpers →</t>
  </si>
  <si>
    <t xml:space="preserve">ORDERS</t>
  </si>
  <si>
    <t xml:space="preserve">WHAT THE DATA SAYS (updates with your filters)</t>
  </si>
  <si>
    <t xml:space="preserve">CHART DATA (filter-driven · feeds the charts above)</t>
  </si>
  <si>
    <t xml:space="preserve">Month</t>
  </si>
  <si>
    <t xml:space="preserve">Net Revenue</t>
  </si>
  <si>
    <t xml:space="preserve">Profit</t>
  </si>
  <si>
    <t xml:space="preserve">Margin</t>
  </si>
  <si>
    <t xml:space="preserve">Product</t>
  </si>
  <si>
    <t xml:space="preserve">Jan</t>
  </si>
  <si>
    <t xml:space="preserve">Accessories</t>
  </si>
  <si>
    <t xml:space="preserve">Feb</t>
  </si>
  <si>
    <t xml:space="preserve">Laptop</t>
  </si>
  <si>
    <t xml:space="preserve">Mar</t>
  </si>
  <si>
    <t xml:space="preserve">Monitor</t>
  </si>
  <si>
    <t xml:space="preserve">Apr</t>
  </si>
  <si>
    <t xml:space="preserve">Smartphone</t>
  </si>
  <si>
    <t xml:space="preserve">May</t>
  </si>
  <si>
    <t xml:space="preserve">Tablet</t>
  </si>
  <si>
    <t xml:space="preserve">Jun</t>
  </si>
  <si>
    <t xml:space="preserve">Jul</t>
  </si>
  <si>
    <t xml:space="preserve">Aug</t>
  </si>
  <si>
    <t xml:space="preserve">Sep</t>
  </si>
  <si>
    <t xml:space="preserve">Region</t>
  </si>
  <si>
    <t xml:space="preserve">Channel</t>
  </si>
  <si>
    <t xml:space="preserve">Abuja</t>
  </si>
  <si>
    <t xml:space="preserve">Online</t>
  </si>
  <si>
    <t xml:space="preserve">Ibadan</t>
  </si>
  <si>
    <t xml:space="preserve">Referral</t>
  </si>
  <si>
    <t xml:space="preserve">Kano</t>
  </si>
  <si>
    <t xml:space="preserve">Retail Store</t>
  </si>
  <si>
    <t xml:space="preserve">Lagos</t>
  </si>
  <si>
    <t xml:space="preserve">WhatsApp</t>
  </si>
  <si>
    <t xml:space="preserve">Port Harcourt</t>
  </si>
  <si>
    <t xml:space="preserve">INSIGHTS · Where the money is made and lost</t>
  </si>
  <si>
    <t xml:space="preserve">Whole-dataset analysis (not filtered). Every number is a live formula on the Sales Data tab.</t>
  </si>
  <si>
    <t xml:space="preserve">1 · Product profitability</t>
  </si>
  <si>
    <t xml:space="preserve">Orders</t>
  </si>
  <si>
    <t xml:space="preserve">Units</t>
  </si>
  <si>
    <t xml:space="preserve">Revenue Share</t>
  </si>
  <si>
    <t xml:space="preserve">Profit Margin</t>
  </si>
  <si>
    <t xml:space="preserve">Avg Rating</t>
  </si>
  <si>
    <t xml:space="preserve">Profit / Order</t>
  </si>
  <si>
    <t xml:space="preserve">Total</t>
  </si>
  <si>
    <t xml:space="preserve">2 · Region × Product heatmap (net revenue)</t>
  </si>
  <si>
    <t xml:space="preserve">Top Product</t>
  </si>
  <si>
    <t xml:space="preserve">Top Product Share</t>
  </si>
  <si>
    <t xml:space="preserve">3 · Discount effectiveness: what did the discounts buy?</t>
  </si>
  <si>
    <t xml:space="preserve">Discount Tier</t>
  </si>
  <si>
    <t xml:space="preserve">Gross Revenue</t>
  </si>
  <si>
    <t xml:space="preserve">Discount Given</t>
  </si>
  <si>
    <t xml:space="preserve">Avg Order (Net)</t>
  </si>
  <si>
    <t xml:space="preserve">Correlation: discount vs rating</t>
  </si>
  <si>
    <t xml:space="preserve">Near zero = deeper discounts do not buy happier customers (small sample, association only).</t>
  </si>
  <si>
    <t xml:space="preserve">4 · Customer segment and sales channel</t>
  </si>
  <si>
    <t xml:space="preserve">Customer Segment</t>
  </si>
  <si>
    <t xml:space="preserve">Avg Order Value</t>
  </si>
  <si>
    <t xml:space="preserve">New Customer</t>
  </si>
  <si>
    <t xml:space="preserve">Returning Customer</t>
  </si>
  <si>
    <t xml:space="preserve">VIP</t>
  </si>
  <si>
    <t xml:space="preserve">Sales Channel</t>
  </si>
  <si>
    <t xml:space="preserve">5 · Monthly performance (all nine months, rebuilt from transactions)</t>
  </si>
  <si>
    <t xml:space="preserve">MoM Change</t>
  </si>
  <si>
    <t xml:space="preserve">vs Monthly Average</t>
  </si>
  <si>
    <t xml:space="preserve">6 · Order-size tiers (thresholds set in the What-If Lab)</t>
  </si>
  <si>
    <t xml:space="preserve">Tier</t>
  </si>
  <si>
    <t xml:space="preserve">% of Orders</t>
  </si>
  <si>
    <t xml:space="preserve">% of Revenue</t>
  </si>
  <si>
    <t xml:space="preserve">Large</t>
  </si>
  <si>
    <t xml:space="preserve">Medium</t>
  </si>
  <si>
    <t xml:space="preserve">Small</t>
  </si>
  <si>
    <t xml:space="preserve">WHAT-IF LAB · Test the recommendations</t>
  </si>
  <si>
    <t xml:space="preserve">Change the yellow cells (blue text = your inputs). Everything below recalculates. Scenarios are illustrative, not forecasts.</t>
  </si>
  <si>
    <t xml:space="preserve">1 · Levers &amp; assumptions</t>
  </si>
  <si>
    <t xml:space="preserve">Discount cap (max discount allowed)</t>
  </si>
  <si>
    <t xml:space="preserve">Orders above the cap are re-priced at the cap</t>
  </si>
  <si>
    <t xml:space="preserve">Order volume lost where the discount is cut</t>
  </si>
  <si>
    <t xml:space="preserve">Conservative default: 1 in 10 affected orders walks away</t>
  </si>
  <si>
    <t xml:space="preserve">Accessories sales uplift (bundling / attach)</t>
  </si>
  <si>
    <t xml:space="preserve">Applied to current accessories revenue and profit</t>
  </si>
  <si>
    <t xml:space="preserve">Large-order threshold (net ₦)</t>
  </si>
  <si>
    <t xml:space="preserve">Used for Order Tier on Sales Data</t>
  </si>
  <si>
    <t xml:space="preserve">Medium-order threshold (net ₦)</t>
  </si>
  <si>
    <t xml:space="preserve">Orders below this are tagged Small</t>
  </si>
  <si>
    <t xml:space="preserve">2 · Scenario result</t>
  </si>
  <si>
    <t xml:space="preserve">Base net revenue</t>
  </si>
  <si>
    <t xml:space="preserve">Base profit</t>
  </si>
  <si>
    <t xml:space="preserve">Base profit margin</t>
  </si>
  <si>
    <t xml:space="preserve">Profit change · discount cap</t>
  </si>
  <si>
    <t xml:space="preserve">Profit change · accessories uplift</t>
  </si>
  <si>
    <t xml:space="preserve">Scenario profit</t>
  </si>
  <si>
    <t xml:space="preserve">← headline</t>
  </si>
  <si>
    <t xml:space="preserve">Profit improvement</t>
  </si>
  <si>
    <t xml:space="preserve">Net revenue change</t>
  </si>
  <si>
    <t xml:space="preserve">Scenario profit margin</t>
  </si>
  <si>
    <t xml:space="preserve">3 · Sensitivity: profit change from a discount cap (₦) — how wrong can the volume assumption be?</t>
  </si>
  <si>
    <t xml:space="preserve">Discount cap ↓   |   Order volume lost →</t>
  </si>
  <si>
    <t xml:space="preserve">Reading it: where the cell turns red, cutting discounts loses more profit than it gains, so the volume assumption is the risk to watch.</t>
  </si>
  <si>
    <t xml:space="preserve">Order ID</t>
  </si>
  <si>
    <t xml:space="preserve">Order Date</t>
  </si>
  <si>
    <t xml:space="preserve">Month No</t>
  </si>
  <si>
    <t xml:space="preserve">Quantity</t>
  </si>
  <si>
    <t xml:space="preserve">Unit Price (₦)</t>
  </si>
  <si>
    <t xml:space="preserve">Gross Revenue (₦)</t>
  </si>
  <si>
    <t xml:space="preserve">Discount</t>
  </si>
  <si>
    <t xml:space="preserve">Net Revenue (₦)</t>
  </si>
  <si>
    <t xml:space="preserve">Cost (₦)</t>
  </si>
  <si>
    <t xml:space="preserve">Profit (₦)</t>
  </si>
  <si>
    <t xml:space="preserve">Discount Given (₦)</t>
  </si>
  <si>
    <t xml:space="preserve">Customer Rating</t>
  </si>
  <si>
    <t xml:space="preserve">Order Tier</t>
  </si>
  <si>
    <t xml:space="preserve">ORD-0001</t>
  </si>
  <si>
    <t xml:space="preserve">ORD-0002</t>
  </si>
  <si>
    <t xml:space="preserve">ORD-0003</t>
  </si>
  <si>
    <t xml:space="preserve">ORD-0004</t>
  </si>
  <si>
    <t xml:space="preserve">ORD-0005</t>
  </si>
  <si>
    <t xml:space="preserve">ORD-0006</t>
  </si>
  <si>
    <t xml:space="preserve">ORD-0007</t>
  </si>
  <si>
    <t xml:space="preserve">ORD-0008</t>
  </si>
  <si>
    <t xml:space="preserve">ORD-0009</t>
  </si>
  <si>
    <t xml:space="preserve">ORD-0010</t>
  </si>
  <si>
    <t xml:space="preserve">ORD-0011</t>
  </si>
  <si>
    <t xml:space="preserve">ORD-0012</t>
  </si>
  <si>
    <t xml:space="preserve">ORD-0013</t>
  </si>
  <si>
    <t xml:space="preserve">ORD-0014</t>
  </si>
  <si>
    <t xml:space="preserve">ORD-0015</t>
  </si>
  <si>
    <t xml:space="preserve">ORD-0016</t>
  </si>
  <si>
    <t xml:space="preserve">ORD-0017</t>
  </si>
  <si>
    <t xml:space="preserve">ORD-0018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</si>
  <si>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</si>
  <si>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</si>
  <si>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</si>
  <si>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</si>
  <si>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</si>
  <si>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</si>
  <si>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</si>
  <si>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</si>
  <si>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</si>
  <si>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</si>
  <si>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</si>
  <si>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</si>
  <si>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</si>
  <si>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</si>
  <si>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</si>
  <si>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</si>
  <si>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</si>
  <si>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</si>
  <si>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</si>
  <si>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</si>
  <si>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</si>
  <si>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</si>
  <si>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</si>
  <si>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</si>
  <si>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</si>
  <si>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</si>
  <si>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</si>
  <si>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</si>
  <si>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</si>
  <si>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</si>
  <si>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</si>
  <si>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</si>
  <si>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</si>
  <si>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</si>
  <si>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</si>
  <si>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</si>
  <si>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</si>
  <si>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</si>
  <si>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</si>
  <si>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</si>
  <si>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</si>
  <si>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</si>
  <si>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</si>
  <si>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</si>
  <si>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</si>
  <si>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</si>
  <si>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</si>
  <si>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</si>
  <si>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</si>
  <si>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</si>
  <si>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</si>
  <si>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</si>
  <si>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</si>
  <si>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</si>
  <si>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</si>
  <si>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</si>
  <si>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</si>
  <si>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</si>
  <si>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</si>
  <si>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</si>
  <si>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</si>
  <si>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</si>
  <si>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</si>
  <si>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</si>
  <si>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</si>
  <si>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</si>
  <si>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</si>
  <si>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</si>
  <si>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</si>
  <si>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</si>
  <si>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</si>
  <si>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</si>
  <si>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</si>
  <si>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</si>
  <si>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</si>
  <si>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</si>
  <si>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</si>
  <si>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</si>
  <si>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</si>
  <si>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</si>
  <si>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</si>
  <si>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</si>
  <si>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</si>
  <si>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</si>
  <si>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</si>
  <si>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</si>
  <si>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</si>
  <si>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</si>
  <si>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</si>
  <si>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</si>
  <si>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</si>
  <si>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</si>
  <si>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</si>
  <si>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</si>
  <si>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</si>
  <si>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</si>
  <si>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</si>
  <si>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</si>
  <si>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</si>
  <si>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</si>
  <si>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</si>
  <si>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</si>
  <si>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</si>
  <si>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</si>
  <si>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</si>
  <si>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</si>
  <si>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</si>
  <si>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</si>
  <si>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</si>
  <si>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</si>
  <si>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</si>
  <si>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</si>
  <si>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</si>
  <si>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</si>
  <si>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</si>
  <si>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</si>
  <si>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</si>
  <si>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</si>
  <si>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</si>
  <si>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</si>
  <si>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</si>
  <si>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</si>
  <si>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</si>
  <si>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</si>
  <si>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</si>
  <si>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</si>
  <si>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</si>
  <si>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</si>
  <si>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</si>
  <si>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</si>
  <si>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</si>
  <si>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</si>
  <si>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</si>
  <si>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</si>
  <si>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</si>
  <si>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</si>
  <si>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</si>
  <si>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</si>
  <si>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</si>
  <si>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</si>
  <si>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</si>
  <si>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</si>
  <si>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QUALITY &amp; METHOD · Why you can trust these numbers</t>
  </si>
  <si>
    <t xml:space="preserve">1 · Automated reconciliation checks</t>
  </si>
  <si>
    <t xml:space="preserve">Check</t>
  </si>
  <si>
    <t xml:space="preserve">This workbook</t>
  </si>
  <si>
    <t xml:space="preserve">Reference</t>
  </si>
  <si>
    <t xml:space="preserve">Status</t>
  </si>
  <si>
    <t xml:space="preserve">Source of reference</t>
  </si>
  <si>
    <t xml:space="preserve">Net revenue ties to original report</t>
  </si>
  <si>
    <t xml:space="preserve">Original file, Dashboard &amp; Analysis tabs</t>
  </si>
  <si>
    <t xml:space="preserve">Total profit ties to original report</t>
  </si>
  <si>
    <t xml:space="preserve">Original file, Dashboard tab</t>
  </si>
  <si>
    <t xml:space="preserve">Order count</t>
  </si>
  <si>
    <t xml:space="preserve">Original file, Analysis tab (Total Orders)</t>
  </si>
  <si>
    <t xml:space="preserve">Average rating ties to original</t>
  </si>
  <si>
    <t xml:space="preserve">Original file, Analysis tab</t>
  </si>
  <si>
    <t xml:space="preserve">Unique order IDs (no duplicates)</t>
  </si>
  <si>
    <t xml:space="preserve">Expected: every ID appears once</t>
  </si>
  <si>
    <t xml:space="preserve">Blank cells in raw inputs</t>
  </si>
  <si>
    <t xml:space="preserve">Expected: none</t>
  </si>
  <si>
    <t xml:space="preserve">Monthly totals add up to total</t>
  </si>
  <si>
    <t xml:space="preserve">Insights tab vs Sales Data</t>
  </si>
  <si>
    <t xml:space="preserve">Region totals add up to total</t>
  </si>
  <si>
    <t xml:space="preserve">Insights heatmap vs Sales Data</t>
  </si>
  <si>
    <t xml:space="preserve">Ratings all between 1 and 5</t>
  </si>
  <si>
    <t xml:space="preserve">Validity range</t>
  </si>
  <si>
    <t xml:space="preserve">Dates all fall in Jan–Sep 2026</t>
  </si>
  <si>
    <t xml:space="preserve">Expected reporting window</t>
  </si>
  <si>
    <t xml:space="preserve">Discount values are valid tiers (0/3/5/8/10%)</t>
  </si>
  <si>
    <t xml:space="preserve">Every order sits in a known tier</t>
  </si>
  <si>
    <t xml:space="preserve">Overall</t>
  </si>
  <si>
    <t xml:space="preserve">2 · What I improved versus the original report</t>
  </si>
  <si>
    <t xml:space="preserve">•  Replaced hard-coded results with live formulas (SUMIFS, COUNTIFS, AVERAGEIFS, SUMPRODUCT, INDEX/MATCH) so the workbook recalculates when data changes.</t>
  </si>
  <si>
    <t xml:space="preserve">•  Found that the original dashboard monthly table skipped July and August (the notes sat on those rows). All nine months are now rebuilt from the transactions.</t>
  </si>
  <si>
    <t xml:space="preserve">•  Gross, net, profit, margin and discount-given are now formulas on the raw inputs (blue = typed inputs, black = formulas) instead of pasted values.</t>
  </si>
  <si>
    <t xml:space="preserve">•  Added interactive filters (Region, Product, Channel), a what-if model with sensitivity table, discount-effectiveness analysis and an order-size tier analysis.</t>
  </si>
  <si>
    <t xml:space="preserve">•  Added this reconciliation panel so any reviewer can see the numbers tie to the original report.</t>
  </si>
  <si>
    <t xml:space="preserve">3 · Method</t>
  </si>
  <si>
    <t xml:space="preserve">•  1) Audit the source data and reconcile totals. 2) Add calculated columns (month, margin, discount given, order tier). 3) Build KPI and breakdown tables. 4) Test relationships (discount vs rating, region x product). 5) Model scenarios with explicit assumptions. 6) Translate findings into three prioritised recommendations.</t>
  </si>
  <si>
    <t xml:space="preserve">4 · Limitations and honest disclosure</t>
  </si>
  <si>
    <t xml:space="preserve">•  Synthetic dataset of 160 transactions created for portfolio practice. It is not real client data and results should not be generalised.</t>
  </si>
  <si>
    <t xml:space="preserve">•  Findings show association, not causation. A correlation of about -0.07 between discount and rating suggests no visible benefit, but a larger real dataset would be needed to prove it.</t>
  </si>
  <si>
    <t xml:space="preserve">•  The what-if lab assumes simple behaviour (a fixed share of affected orders lost). The sensitivity table shows how conclusions change if that assumption is wrong.</t>
  </si>
  <si>
    <t xml:space="preserve">•  AI assistance supported project structuring, synthetic-data logic, insight drafting and quality checking. The analyst validated every output.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</si>
</sst>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₦#,##0"/>
    <numFmt numFmtId="166" formatCode="0.0%"/>
    <numFmt numFmtId="167" formatCode="0.00"/>
    <numFmt numFmtId="168" formatCode="0"/>
    <numFmt numFmtId="169" formatCode="#,##0,,\M"/>
    <numFmt numFmtId="170" formatCode="0%"/>
    <numFmt numFmtId="171" formatCode="#,##0"/>
    <numFmt numFmtId="172" formatCode="\+0%;[RED]\-0%"/>
    <numFmt numFmtId="173" formatCode="#,##0;[RED]\-#,##0;\-"/>
    <numFmt numFmtId="174" formatCode="dd\-mmm\-yyyy"/>
    <numFmt numFmtId="175" formatCode="0.0"/>
    <numFmt numFmtId="176" formatCode="#,##0.00"/>
    <numFmt numFmtId="177" formatCode="0.0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9CA3AF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D1D5D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2937"/>
      <name val="Arial"/>
      <family val="0"/>
      <charset val="1"/>
    </font>
    <font>
      <b val="true"/>
      <sz val="10"/>
      <color rgb="FFD1495B"/>
      <name val="Arial"/>
      <family val="0"/>
      <charset val="1"/>
    </font>
    <font>
      <b val="true"/>
      <i val="true"/>
      <sz val="10"/>
      <color rgb="FFD1495B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F2937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1F2937"/>
      </patternFill>
    </fill>
    <fill>
      <patternFill patternType="solid">
        <fgColor rgb="FF0E7C7B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3B0"/>
        <bgColor rgb="FFF4F6F8"/>
      </patternFill>
    </fill>
    <fill>
      <patternFill patternType="solid">
        <fgColor rgb="FFE3E8EE"/>
        <bgColor rgb="FFD5DB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/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E7C7B"/>
      <rgbColor rgb="FFD9D9D9"/>
      <rgbColor rgb="FF878787"/>
      <rgbColor rgb="FF8064A2"/>
      <rgbColor rgb="FFC0504D"/>
      <rgbColor rgb="FFF4F6F8"/>
      <rgbColor rgb="FFE3E8EE"/>
      <rgbColor rgb="FF660066"/>
      <rgbColor rgb="FFFF8080"/>
      <rgbColor rgb="FF0563C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BE3"/>
      <rgbColor rgb="FFC6EFCE"/>
      <rgbColor rgb="FFFFF3B0"/>
      <rgbColor rgb="FF99CCFF"/>
      <rgbColor rgb="FFFF99CC"/>
      <rgbColor rgb="FFCC99FF"/>
      <rgbColor rgb="FFFFC7CE"/>
      <rgbColor rgb="FF4F81BD"/>
      <rgbColor rgb="FF33CCCC"/>
      <rgbColor rgb="FF9BBB59"/>
      <rgbColor rgb="FFE9B949"/>
      <rgbColor rgb="FFFF9900"/>
      <rgbColor rgb="FFFF6600"/>
      <rgbColor rgb="FF6B7280"/>
      <rgbColor rgb="FF9CA3AF"/>
      <rgbColor rgb="FF0B2545"/>
      <rgbColor rgb="FF339966"/>
      <rgbColor rgb="FF003300"/>
      <rgbColor rgb="FF333300"/>
      <rgbColor rgb="FF993300"/>
      <rgbColor rgb="FFD1495B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(bars) and profit margin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Dashboard!C53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Dashboard!$B$54:$B$62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Dashboard!$C$54:$C$62</c:f>
              <c:numCache>
                <c:formatCode>\₦#,##0</c:formatCode>
                <c:ptCount val="9"/>
                <c:pt idx="0">
                  <c:v>17854867</c:v>
                </c:pt>
                <c:pt idx="1">
                  <c:v>12097380</c:v>
                </c:pt>
                <c:pt idx="2">
                  <c:v>16999140</c:v>
                </c:pt>
                <c:pt idx="3">
                  <c:v>7524347</c:v>
                </c:pt>
                <c:pt idx="4">
                  <c:v>12970356</c:v>
                </c:pt>
                <c:pt idx="5">
                  <c:v>22937260</c:v>
                </c:pt>
                <c:pt idx="6">
                  <c:v>12298898</c:v>
                </c:pt>
                <c:pt idx="7">
                  <c:v>18390684</c:v>
                </c:pt>
                <c:pt idx="8">
                  <c:v>13168079</c:v>
                </c:pt>
              </c:numCache>
            </c:numRef>
          </c:val>
        </c:ser>
        <c:gapWidth val="150"/>
        <c:overlap val="0"/>
        <c:axId val="16168946"/>
        <c:axId val="24162497"/>
      </c:barChart>
      <c:lineChart>
        <c:grouping val="standard"/>
        <c:varyColors val="0"/>
        <c:ser>
          <c:idx val="1"/>
          <c:order val="1"/>
          <c:tx>
            <c:strRef>
              <c:f>Dashboard!E53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e9b949"/>
            </a:solidFill>
            <a:ln w="28080">
              <a:solidFill>
                <a:srgbClr val="e9b949"/>
              </a:solidFill>
              <a:round/>
            </a:ln>
          </c:spPr>
          <c:marker>
            <c:symbol val="circle"/>
            <c:size val="5"/>
            <c:spPr>
              <a:solidFill>
                <a:srgbClr val="e9b94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Dashboard!$B$54:$B$62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Dashboard!$E$54:$E$62</c:f>
              <c:numCache>
                <c:formatCode>0.0%</c:formatCode>
                <c:ptCount val="9"/>
                <c:pt idx="0">
                  <c:v>0.244336474755035</c:v>
                </c:pt>
                <c:pt idx="1">
                  <c:v>0.246229289317191</c:v>
                </c:pt>
                <c:pt idx="2">
                  <c:v>0.245794168410873</c:v>
                </c:pt>
                <c:pt idx="3">
                  <c:v>0.240262000144331</c:v>
                </c:pt>
                <c:pt idx="4">
                  <c:v>0.250216646327981</c:v>
                </c:pt>
                <c:pt idx="5">
                  <c:v>0.241695657633039</c:v>
                </c:pt>
                <c:pt idx="6">
                  <c:v>0.248360205930645</c:v>
                </c:pt>
                <c:pt idx="7">
                  <c:v>0.241451712182103</c:v>
                </c:pt>
                <c:pt idx="8">
                  <c:v>0.253640985902348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0536391"/>
        <c:axId val="66159842"/>
      </c:lineChart>
      <c:catAx>
        <c:axId val="16168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2497"/>
        <c:crosses val="autoZero"/>
        <c:auto val="1"/>
        <c:lblAlgn val="ctr"/>
        <c:lblOffset val="100"/>
        <c:noMultiLvlLbl val="0"/>
      </c:catAx>
      <c:valAx>
        <c:axId val="24162497"/>
        <c:scaling>
          <c:orientation val="minMax"/>
        </c:scaling>
        <c:delete val="0"/>
        <c:axPos val="l"/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68946"/>
        <c:crosses val="autoZero"/>
        <c:crossBetween val="between"/>
      </c:valAx>
      <c:catAx>
        <c:axId val="405363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59842"/>
        <c:crosses val="autoZero"/>
        <c:auto val="1"/>
        <c:lblAlgn val="ctr"/>
        <c:lblOffset val="100"/>
        <c:noMultiLvlLbl val="0"/>
      </c:catAx>
      <c:valAx>
        <c:axId val="6615984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3639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Dashboard!H53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b25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Dashboard!$G$54:$G$58</c:f>
              <c:strCache>
                <c:ptCount val="5"/>
                <c:pt idx="0">
                  <c:v>Accessories</c:v>
                </c:pt>
                <c:pt idx="1">
                  <c:v>Laptop</c:v>
                </c:pt>
                <c:pt idx="2">
                  <c:v>Monitor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Dashboard!$H$54:$H$58</c:f>
              <c:numCache>
                <c:formatCode>\₦#,##0</c:formatCode>
                <c:ptCount val="5"/>
                <c:pt idx="0">
                  <c:v>5583778</c:v>
                </c:pt>
                <c:pt idx="1">
                  <c:v>65978459</c:v>
                </c:pt>
                <c:pt idx="2">
                  <c:v>10056238</c:v>
                </c:pt>
                <c:pt idx="3">
                  <c:v>42593731</c:v>
                </c:pt>
                <c:pt idx="4">
                  <c:v>10028805</c:v>
                </c:pt>
              </c:numCache>
            </c:numRef>
          </c:val>
        </c:ser>
        <c:gapWidth val="150"/>
        <c:overlap val="0"/>
        <c:axId val="60349309"/>
        <c:axId val="95609374"/>
      </c:barChart>
      <c:catAx>
        <c:axId val="60349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09374"/>
        <c:crosses val="autoZero"/>
        <c:auto val="1"/>
        <c:lblAlgn val="ctr"/>
        <c:lblOffset val="100"/>
        <c:noMultiLvlLbl val="0"/>
      </c:catAx>
      <c:valAx>
        <c:axId val="95609374"/>
        <c:scaling>
          <c:orientation val="minMax"/>
        </c:scaling>
        <c:delete val="0"/>
        <c:axPos val="l"/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493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Dashboard!C64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Dashboard!$B$65:$B$69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Dashboard!$C$65:$C$69</c:f>
              <c:numCache>
                <c:formatCode>\₦#,##0</c:formatCode>
                <c:ptCount val="5"/>
                <c:pt idx="0">
                  <c:v>32393721</c:v>
                </c:pt>
                <c:pt idx="1">
                  <c:v>17277519</c:v>
                </c:pt>
                <c:pt idx="2">
                  <c:v>35509711</c:v>
                </c:pt>
                <c:pt idx="3">
                  <c:v>22474912</c:v>
                </c:pt>
                <c:pt idx="4">
                  <c:v>26585148</c:v>
                </c:pt>
              </c:numCache>
            </c:numRef>
          </c:val>
        </c:ser>
        <c:gapWidth val="150"/>
        <c:overlap val="0"/>
        <c:axId val="15292925"/>
        <c:axId val="68566299"/>
      </c:barChart>
      <c:catAx>
        <c:axId val="15292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66299"/>
        <c:crosses val="autoZero"/>
        <c:auto val="1"/>
        <c:lblAlgn val="ctr"/>
        <c:lblOffset val="100"/>
        <c:noMultiLvlLbl val="0"/>
      </c:catAx>
      <c:valAx>
        <c:axId val="68566299"/>
        <c:scaling>
          <c:orientation val="minMax"/>
        </c:scaling>
        <c:delete val="0"/>
        <c:axPos val="l"/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929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share of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Dashboard!H64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Dashboard!$G$65:$G$68</c:f>
              <c:strCache>
                <c:ptCount val="4"/>
                <c:pt idx="0">
                  <c:v>Online</c:v>
                </c:pt>
                <c:pt idx="1">
                  <c:v>Referral</c:v>
                </c:pt>
                <c:pt idx="2">
                  <c:v>Retail Store</c:v>
                </c:pt>
                <c:pt idx="3">
                  <c:v>WhatsApp</c:v>
                </c:pt>
              </c:strCache>
            </c:strRef>
          </c:cat>
          <c:val>
            <c:numRef>
              <c:f>Dashboard!$H$65:$H$68</c:f>
              <c:numCache>
                <c:formatCode>\₦#,##0</c:formatCode>
                <c:ptCount val="4"/>
                <c:pt idx="0">
                  <c:v>48640713</c:v>
                </c:pt>
                <c:pt idx="1">
                  <c:v>22963625</c:v>
                </c:pt>
                <c:pt idx="2">
                  <c:v>35202963</c:v>
                </c:pt>
                <c:pt idx="3">
                  <c:v>27433710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969480</xdr:colOff>
      <xdr:row>23</xdr:row>
      <xdr:rowOff>115200</xdr:rowOff>
    </xdr:to>
    <xdr:graphicFrame>
      <xdr:nvGraphicFramePr>
        <xdr:cNvPr id="0" name="Chart 1"/>
        <xdr:cNvGraphicFramePr/>
      </xdr:nvGraphicFramePr>
      <xdr:xfrm>
        <a:off x="281880" y="245736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969840</xdr:colOff>
      <xdr:row>23</xdr:row>
      <xdr:rowOff>115200</xdr:rowOff>
    </xdr:to>
    <xdr:graphicFrame>
      <xdr:nvGraphicFramePr>
        <xdr:cNvPr id="1" name="Chart 2"/>
        <xdr:cNvGraphicFramePr/>
      </xdr:nvGraphicFramePr>
      <xdr:xfrm>
        <a:off x="6202800" y="245736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969480</xdr:colOff>
      <xdr:row>39</xdr:row>
      <xdr:rowOff>115200</xdr:rowOff>
    </xdr:to>
    <xdr:graphicFrame>
      <xdr:nvGraphicFramePr>
        <xdr:cNvPr id="2" name="Chart 3"/>
        <xdr:cNvGraphicFramePr/>
      </xdr:nvGraphicFramePr>
      <xdr:xfrm>
        <a:off x="281880" y="550548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969840</xdr:colOff>
      <xdr:row>39</xdr:row>
      <xdr:rowOff>115200</xdr:rowOff>
    </xdr:to>
    <xdr:graphicFrame>
      <xdr:nvGraphicFramePr>
        <xdr:cNvPr id="3" name="Chart 4"/>
        <xdr:cNvGraphicFramePr/>
      </xdr:nvGraphicFramePr>
      <xdr:xfrm>
        <a:off x="6202800" y="550548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raft.xlsx" TargetMode="External"/><Relationship Id="rId2" Type="http://schemas.openxmlformats.org/officeDocument/2006/relationships/hyperlink" Target="draft.xlsx" TargetMode="External"/><Relationship Id="rId3" Type="http://schemas.openxmlformats.org/officeDocument/2006/relationships/hyperlink" Target="draft.xlsx" TargetMode="External"/><Relationship Id="rId4" Type="http://schemas.openxmlformats.org/officeDocument/2006/relationships/hyperlink" Target="draft.xlsx" TargetMode="External"/><Relationship Id="rId5" Type="http://schemas.openxmlformats.org/officeDocument/2006/relationships/hyperlink" Target="draf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tru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6"/>
    <col collapsed="false" customWidth="true" hidden="false" outlineLevel="0" max="7" min="7" style="0" width="2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37.5" hidden="false" customHeight="true" outlineLevel="0" collapsed="false">
      <c r="B7" s="5" t="n">
        <f aca="false">SUM('Sales Data'!$L$2:$L$161)</f>
        <v>134241011</v>
      </c>
      <c r="C7" s="5" t="n">
        <f aca="false">SUM('Sales Data'!$N$2:$N$161)</f>
        <v>32951647.32</v>
      </c>
      <c r="D7" s="6" t="n">
        <f aca="false">SUM('Sales Data'!$N$2:$N$161)/SUM('Sales Data'!$L$2:$L$161)</f>
        <v>0.245466322657537</v>
      </c>
      <c r="E7" s="5" t="n">
        <f aca="false">SUM('Sales Data'!$L$2:$L$161)/COUNTA('Sales Data'!$A$2:$A$161)</f>
        <v>839006.31875</v>
      </c>
      <c r="F7" s="7" t="n">
        <f aca="false">AVERAGE('Sales Data'!$Q$2:$Q$161)</f>
        <v>4.081875</v>
      </c>
    </row>
    <row r="9" customFormat="false" ht="15" hidden="false" customHeight="false" outlineLevel="0" collapsed="false">
      <c r="B9" s="8" t="s">
        <v>8</v>
      </c>
      <c r="C9" s="8"/>
      <c r="D9" s="8"/>
      <c r="E9" s="8"/>
      <c r="F9" s="8"/>
    </row>
    <row r="10" customFormat="false" ht="33.75" hidden="false" customHeight="true" outlineLevel="0" collapsed="false">
      <c r="B10" s="9" t="s">
        <v>9</v>
      </c>
      <c r="C10" s="9"/>
      <c r="D10" s="9"/>
      <c r="E10" s="9"/>
      <c r="F10" s="9"/>
    </row>
    <row r="12" customFormat="false" ht="15" hidden="false" customHeight="false" outlineLevel="0" collapsed="false">
      <c r="B12" s="8" t="s">
        <v>10</v>
      </c>
      <c r="C12" s="8"/>
      <c r="D12" s="8"/>
      <c r="E12" s="8"/>
      <c r="F12" s="8"/>
    </row>
    <row r="13" customFormat="false" ht="31.5" hidden="false" customHeight="true" outlineLevel="0" collapsed="false">
      <c r="B13" s="10" t="str">
        <f aca="false">"1. Concentration: "&amp;INDEX(Insights!B7:B11,MATCH(MAX(Insights!E7:E11),Insights!E7:E11,0))&amp;" alone brings "&amp;TEXT(MAX(Insights!F7:F11),"0%")&amp;" of net revenue; the top two products bring "&amp;TEXT(LARGE(Insights!F7:F11,1)+LARGE(Insights!F7:F11,2),"0%")&amp;"."</f>
        <v>1. Concentration: Laptop alone brings 49% of net revenue; the top two products bring 81%.</v>
      </c>
      <c r="C13" s="10"/>
      <c r="D13" s="10"/>
      <c r="E13" s="10"/>
      <c r="F13" s="10"/>
    </row>
    <row r="14" customFormat="false" ht="31.5" hidden="false" customHeight="true" outlineLevel="0" collapsed="false">
      <c r="B14" s="10" t="str">
        <f aca="false">"2. Hidden margin: "&amp;INDEX(Insights!B7:B11,MATCH(MAX(Insights!H7:H11),Insights!H7:H11,0))&amp;" earns the best margin ("&amp;TEXT(MAX(Insights!H7:H11),"0%")&amp;") yet makes up only "&amp;TEXT(INDEX(Insights!F7:F11,MATCH(MAX(Insights!H7:H11),Insights!H7:H11,0)),"0%")&amp;" of revenue."</f>
        <v>2. Hidden margin: Accessories earns the best margin (38%) yet makes up only 4% of revenue.</v>
      </c>
      <c r="C14" s="10"/>
      <c r="D14" s="10"/>
      <c r="E14" s="10"/>
      <c r="F14" s="10"/>
    </row>
    <row r="15" customFormat="false" ht="31.5" hidden="false" customHeight="true" outlineLevel="0" collapsed="false">
      <c r="B15" s="10" t="str">
        <f aca="false">"3. Discounts: ₦"&amp;TEXT(Insights!E30/1000000,"0.0")&amp;"M given away ("&amp;TEXT(Insights!E30/Insights!D30,"0.0%")&amp;" of gross sales). Correlation with ratings is "&amp;TEXT(Insights!D31,"0.00")&amp;", so deeper discounts are not buying happier customers."</f>
        <v>3. Discounts: ₦7.6M given away (5.4% of gross sales). Correlation with ratings is -0.07, so deeper discounts are not buying happier customers.</v>
      </c>
      <c r="C15" s="10"/>
      <c r="D15" s="10"/>
      <c r="E15" s="10"/>
      <c r="F15" s="10"/>
    </row>
    <row r="16" customFormat="false" ht="31.5" hidden="false" customHeight="true" outlineLevel="0" collapsed="false">
      <c r="B16" s="10" t="str">
        <f aca="false">"4. Rhythm: "&amp;INDEX(Insights!B47:B55,MATCH(MAX(Insights!D47:D55),Insights!D47:D55,0))&amp;" is the peak month and "&amp;INDEX(Insights!B47:B55,MATCH(MIN(Insights!D47:D55),Insights!D47:D55,0))&amp;" the trough, a "&amp;TEXT(MAX(Insights!D47:D55)/MIN(Insights!D47:D55),"0.0")&amp;"x swing."</f>
        <v>4. Rhythm: Jun is the peak month and Apr the trough, a 3.0x swing.</v>
      </c>
      <c r="C16" s="10"/>
      <c r="D16" s="10"/>
      <c r="E16" s="10"/>
      <c r="F16" s="10"/>
    </row>
    <row r="17" customFormat="false" ht="31.5" hidden="false" customHeight="true" outlineLevel="0" collapsed="false">
      <c r="B17" s="10" t="str">
        <f aca="false">"5. Geography: "&amp;INDEX(Insights!B16:B20,MATCH(MAX(Insights!H16:H20),Insights!H16:H20,0))&amp;" is the top region, and "&amp;TEXT(INDEX(Insights!J16:J20,MATCH(MAX(Insights!H16:H20),Insights!H16:H20,0)),"0%")&amp;" of its revenue comes from "&amp;INDEX(Insights!I16:I20,MATCH(MAX(Insights!H16:H20),Insights!H16:H20,0))&amp;"s."</f>
        <v>5. Geography: Kano is the top region, and 60% of its revenue comes from Laptops.</v>
      </c>
      <c r="C17" s="10"/>
      <c r="D17" s="10"/>
      <c r="E17" s="10"/>
      <c r="F17" s="10"/>
    </row>
    <row r="18" customFormat="false" ht="31.5" hidden="false" customHeight="true" outlineLevel="0" collapsed="false">
      <c r="B18" s="10" t="str">
        <f aca="false">"6. Channel: "&amp;INDEX(Insights!B40:B43,MATCH(MAX(Insights!F40:F43),Insights!F40:F43,0))&amp;" has the highest order value (₦"&amp;TEXT(MAX(Insights!F40:F43)/1000,"#,##0")&amp;"K) from only "&amp;INDEX(Insights!C40:C43,MATCH(MAX(Insights!F40:F43),Insights!F40:F43,0))&amp;" orders, so there may be room to scale it."</f>
        <v>6. Channel: Referral has the highest order value (₦1,044K) from only 22 orders, so there may be room to scale it.</v>
      </c>
      <c r="C18" s="10"/>
      <c r="D18" s="10"/>
      <c r="E18" s="10"/>
      <c r="F18" s="10"/>
    </row>
    <row r="20" customFormat="false" ht="15" hidden="false" customHeight="false" outlineLevel="0" collapsed="false">
      <c r="B20" s="8" t="s">
        <v>11</v>
      </c>
      <c r="C20" s="8"/>
      <c r="D20" s="8"/>
      <c r="E20" s="8"/>
      <c r="F20" s="8"/>
    </row>
    <row r="21" customFormat="false" ht="31.5" hidden="false" customHeight="true" outlineLevel="0" collapsed="false">
      <c r="B21" s="11" t="str">
        <f aca="false">"Cap discounts at "&amp;TEXT('What-If Lab'!C5,"0%")</f>
        <v>Cap discounts at 5%</v>
      </c>
      <c r="C21" s="12" t="str">
        <f aca="false">"Scenario profit change: ₦"&amp;TEXT('What-If Lab'!C15/1000000,"0.00")&amp;"M, assuming "&amp;TEXT('What-If Lab'!C6,"0%")&amp;" of affected orders are lost."</f>
        <v>Scenario profit change: ₦0.74M, assuming 10% of affected orders are lost.</v>
      </c>
      <c r="D21" s="12"/>
      <c r="E21" s="12"/>
      <c r="F21" s="12"/>
    </row>
    <row r="22" customFormat="false" ht="31.5" hidden="false" customHeight="true" outlineLevel="0" collapsed="false">
      <c r="B22" s="11" t="s">
        <v>12</v>
      </c>
      <c r="C22" s="12" t="str">
        <f aca="false">"A "&amp;TEXT('What-If Lab'!C7,"0%")&amp;" uplift adds about ₦"&amp;TEXT('What-If Lab'!C16/1000000,"0.00")&amp;"M profit from existing customers."</f>
        <v>A 25% uplift adds about ₦0.53M profit from existing customers.</v>
      </c>
      <c r="D22" s="12"/>
      <c r="E22" s="12"/>
      <c r="F22" s="12"/>
    </row>
    <row r="23" customFormat="false" ht="31.5" hidden="false" customHeight="true" outlineLevel="0" collapsed="false">
      <c r="B23" s="11" t="s">
        <v>13</v>
      </c>
      <c r="C23" s="12" t="s">
        <v>14</v>
      </c>
      <c r="D23" s="12"/>
      <c r="E23" s="12"/>
      <c r="F23" s="12"/>
    </row>
    <row r="25" customFormat="false" ht="15" hidden="false" customHeight="false" outlineLevel="0" collapsed="false">
      <c r="B25" s="8" t="s">
        <v>15</v>
      </c>
      <c r="C25" s="8"/>
      <c r="D25" s="8"/>
      <c r="E25" s="8"/>
      <c r="F25" s="8"/>
    </row>
    <row r="26" customFormat="false" ht="15" hidden="false" customHeight="false" outlineLevel="0" collapsed="false">
      <c r="B26" s="13" t="s">
        <v>16</v>
      </c>
      <c r="C26" s="14" t="s">
        <v>17</v>
      </c>
      <c r="D26" s="14"/>
      <c r="E26" s="14"/>
      <c r="F26" s="14"/>
    </row>
    <row r="27" customFormat="false" ht="15" hidden="false" customHeight="false" outlineLevel="0" collapsed="false">
      <c r="B27" s="13" t="s">
        <v>18</v>
      </c>
      <c r="C27" s="14" t="s">
        <v>19</v>
      </c>
      <c r="D27" s="14"/>
      <c r="E27" s="14"/>
      <c r="F27" s="14"/>
    </row>
    <row r="28" customFormat="false" ht="15" hidden="false" customHeight="false" outlineLevel="0" collapsed="false">
      <c r="B28" s="13" t="s">
        <v>20</v>
      </c>
      <c r="C28" s="14" t="s">
        <v>21</v>
      </c>
      <c r="D28" s="14"/>
      <c r="E28" s="14"/>
      <c r="F28" s="14"/>
    </row>
    <row r="29" customFormat="false" ht="15" hidden="false" customHeight="false" outlineLevel="0" collapsed="false">
      <c r="B29" s="13" t="s">
        <v>22</v>
      </c>
      <c r="C29" s="14" t="s">
        <v>23</v>
      </c>
      <c r="D29" s="14"/>
      <c r="E29" s="14"/>
      <c r="F29" s="14"/>
    </row>
    <row r="30" customFormat="false" ht="15" hidden="false" customHeight="false" outlineLevel="0" collapsed="false">
      <c r="B30" s="13" t="s">
        <v>24</v>
      </c>
      <c r="C30" s="14" t="s">
        <v>25</v>
      </c>
      <c r="D30" s="14"/>
      <c r="E30" s="14"/>
      <c r="F30" s="14"/>
    </row>
    <row r="32" customFormat="false" ht="30" hidden="false" customHeight="true" outlineLevel="0" collapsed="false">
      <c r="B32" s="15" t="s">
        <v>26</v>
      </c>
      <c r="C32" s="15"/>
      <c r="D32" s="15"/>
      <c r="E32" s="15"/>
      <c r="F32" s="15"/>
    </row>
  </sheetData>
  <mergeCells count="23">
    <mergeCell ref="B2:F2"/>
    <mergeCell ref="B3:F3"/>
    <mergeCell ref="B4:F4"/>
    <mergeCell ref="B9:F9"/>
    <mergeCell ref="B10:F10"/>
    <mergeCell ref="B12:F12"/>
    <mergeCell ref="B13:F13"/>
    <mergeCell ref="B14:F14"/>
    <mergeCell ref="B15:F15"/>
    <mergeCell ref="B16:F16"/>
    <mergeCell ref="B17:F17"/>
    <mergeCell ref="B18:F18"/>
    <mergeCell ref="B20:F20"/>
    <mergeCell ref="C21:F21"/>
    <mergeCell ref="C22:F22"/>
    <mergeCell ref="C23:F23"/>
    <mergeCell ref="B25:F25"/>
    <mergeCell ref="C26:F26"/>
    <mergeCell ref="C27:F27"/>
    <mergeCell ref="C28:F28"/>
    <mergeCell ref="C29:F29"/>
    <mergeCell ref="C30:F30"/>
    <mergeCell ref="B32:F32"/>
  </mergeCells>
  <hyperlinks>
    <hyperlink ref="B26" r:id="rId1" location="'Dashboard'!A1" display="Dashboard"/>
    <hyperlink ref="B27" r:id="rId2" location="'Insights'!A1" display="Insights"/>
    <hyperlink ref="B28" r:id="rId3" location="'What-If%20Lab'!A1" display="What-If Lab"/>
    <hyperlink ref="B29" r:id="rId4" location="'Sales%20Data'!A1" display="Sales Data"/>
    <hyperlink ref="B30" r:id="rId5" location="'Quality%20&amp;%20Method'!A1" display="Quality &amp; Metho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2:Q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3" min="2" style="0" width="14"/>
    <col collapsed="false" customWidth="true" hidden="true" outlineLevel="0" max="17" min="16" style="0" width="13"/>
  </cols>
  <sheetData>
    <row r="2" customFormat="false" ht="39.75" hidden="false" customHeight="true" outlineLevel="0" collapsed="false">
      <c r="B2" s="16" t="s">
        <v>27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Format="false" ht="15" hidden="false" customHeight="false" outlineLevel="0" collapsed="false">
      <c r="B3" s="17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customFormat="false" ht="15" hidden="false" customHeight="false" outlineLevel="0" collapsed="false">
      <c r="B5" s="18" t="s">
        <v>29</v>
      </c>
      <c r="C5" s="19" t="s">
        <v>30</v>
      </c>
      <c r="E5" s="18" t="s">
        <v>31</v>
      </c>
      <c r="F5" s="19" t="s">
        <v>30</v>
      </c>
      <c r="H5" s="18" t="s">
        <v>32</v>
      </c>
      <c r="I5" s="19" t="s">
        <v>30</v>
      </c>
      <c r="P5" s="20" t="s">
        <v>33</v>
      </c>
      <c r="Q5" s="20" t="str">
        <f aca="false">IF($C$5="All","*",$C$5)</f>
        <v>*</v>
      </c>
    </row>
    <row r="6" customFormat="false" ht="15" hidden="false" customHeight="false" outlineLevel="0" collapsed="false">
      <c r="Q6" s="20" t="str">
        <f aca="false">IF($F$5="All","*",$F$5)</f>
        <v>*</v>
      </c>
    </row>
    <row r="7" customFormat="false" ht="15" hidden="false" customHeight="false" outlineLevel="0" collapsed="false">
      <c r="B7" s="21" t="s">
        <v>3</v>
      </c>
      <c r="C7" s="21"/>
      <c r="D7" s="21" t="s">
        <v>4</v>
      </c>
      <c r="E7" s="21"/>
      <c r="F7" s="21" t="s">
        <v>5</v>
      </c>
      <c r="G7" s="21"/>
      <c r="H7" s="21" t="s">
        <v>6</v>
      </c>
      <c r="I7" s="21"/>
      <c r="J7" s="21" t="s">
        <v>34</v>
      </c>
      <c r="K7" s="21"/>
      <c r="L7" s="21" t="s">
        <v>7</v>
      </c>
      <c r="M7" s="21"/>
      <c r="Q7" s="20" t="str">
        <f aca="false">IF($I$5="All","*",$I$5)</f>
        <v>*</v>
      </c>
    </row>
    <row r="8" customFormat="false" ht="33.75" hidden="false" customHeight="true" outlineLevel="0" collapsed="false">
      <c r="B8" s="22" t="n">
        <f aca="false">SUMIFS('Sales Data'!$L$2:$L$161,'Sales Data'!$D$2:$D$161,$Q$5,'Sales Data'!$G$2:$G$161,$Q$6,'Sales Data'!$E$2:$E$161,$Q$7)</f>
        <v>134241011</v>
      </c>
      <c r="C8" s="22"/>
      <c r="D8" s="22" t="n">
        <f aca="false">SUMIFS('Sales Data'!$N$2:$N$161,'Sales Data'!$D$2:$D$161,$Q$5,'Sales Data'!$G$2:$G$161,$Q$6,'Sales Data'!$E$2:$E$161,$Q$7)</f>
        <v>32951647.32</v>
      </c>
      <c r="E8" s="22"/>
      <c r="F8" s="23" t="n">
        <f aca="false">IF(B8=0,0,D8/B8)</f>
        <v>0.245466322657537</v>
      </c>
      <c r="G8" s="23"/>
      <c r="H8" s="22" t="n">
        <f aca="false">IF(J8=0,0,B8/J8)</f>
        <v>839006.31875</v>
      </c>
      <c r="I8" s="22"/>
      <c r="J8" s="24" t="n">
        <f aca="false">COUNTIFS('Sales Data'!$D$2:$D$161,$Q$5,'Sales Data'!$G$2:$G$161,$Q$6,'Sales Data'!$E$2:$E$161,$Q$7)</f>
        <v>160</v>
      </c>
      <c r="K8" s="24"/>
      <c r="L8" s="25" t="n">
        <f aca="false">IFERROR(AVERAGEIFS('Sales Data'!$Q$2:$Q$161,'Sales Data'!$D$2:$D$161,$Q$5,'Sales Data'!$G$2:$G$161,$Q$6,'Sales Data'!$E$2:$E$161,$Q$7),0)</f>
        <v>4.081875</v>
      </c>
      <c r="M8" s="25"/>
    </row>
    <row r="9" customFormat="false" ht="15" hidden="false" customHeight="false" outlineLevel="0" collapsed="false">
      <c r="B9" s="26" t="str">
        <f aca="false">"Share of total: "&amp;TEXT(IF(SUM('Sales Data'!$L$2:$L$161)=0,0,B8/SUM('Sales Data'!$L$2:$L$161)),"0%")</f>
        <v>Share of total: 100%</v>
      </c>
      <c r="C9" s="26"/>
      <c r="D9" s="26" t="str">
        <f aca="false">"Share of total: "&amp;TEXT(IF(SUM('Sales Data'!$N$2:$N$161)=0,0,D8/SUM('Sales Data'!$N$2:$N$161)),"0%")</f>
        <v>Share of total: 100%</v>
      </c>
      <c r="E9" s="26"/>
      <c r="F9" s="26" t="str">
        <f aca="false">"Overall: "&amp;TEXT(SUM('Sales Data'!$N$2:$N$161)/SUM('Sales Data'!$L$2:$L$161),"0.0%")</f>
        <v>Overall: 24.5%</v>
      </c>
      <c r="G9" s="26"/>
      <c r="H9" s="26" t="str">
        <f aca="false">"Overall: ₦"&amp;TEXT(SUM('Sales Data'!$L$2:$L$161)/COUNTA('Sales Data'!$A$2:$A$161),"#,##0")</f>
        <v>Overall: ₦839,006</v>
      </c>
      <c r="I9" s="26"/>
      <c r="J9" s="26" t="str">
        <f aca="false">"Share of orders: "&amp;TEXT(J8/COUNTA('Sales Data'!$A$2:$A$161),"0%")</f>
        <v>Share of orders: 100%</v>
      </c>
      <c r="K9" s="26"/>
      <c r="L9" s="26" t="str">
        <f aca="false">"Overall: "&amp;TEXT(AVERAGE('Sales Data'!$Q$2:$Q$161),"0.00")&amp;" / 5"</f>
        <v>Overall: 4.08 / 5</v>
      </c>
      <c r="M9" s="26"/>
    </row>
    <row r="43" customFormat="false" ht="15" hidden="false" customHeight="false" outlineLevel="0" collapsed="false">
      <c r="B43" s="8" t="s">
        <v>35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customFormat="false" ht="19.5" hidden="false" customHeight="true" outlineLevel="0" collapsed="false">
      <c r="B44" s="10" t="str">
        <f aca="false">IF(MAX(C54:C62)=0,"No orders match this filter.","Rhythm: "&amp;INDEX(B54:B62,MATCH(MAX(C54:C62),C54:C62,0))&amp;" is the strongest month (₦"&amp;TEXT(MAX(C54:C62)/1000000,"0.0")&amp;"M) and "&amp;INDEX(B54:B62,MATCH(MIN(C54:C62),C54:C62,0))&amp;" the weakest (₦"&amp;TEXT(MIN(C54:C62)/1000000,"0.0")&amp;"M).")</f>
        <v>Rhythm: Jun is the strongest month (₦22.9M) and Apr the weakest (₦7.5M).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9.5" hidden="false" customHeight="true" outlineLevel="0" collapsed="false">
      <c r="B45" s="10" t="str">
        <f aca="false">IF(SUM(H54:H58)=0,"","Mix: "&amp;INDEX(G54:G58,MATCH(MAX(H54:H58),H54:H58,0))&amp;" leads with "&amp;TEXT(MAX(H54:H58)/SUM(H54:H58),"0%")&amp;" of revenue; "&amp;INDEX(G54:G58,MATCH(MAX(J54:J58),J54:J58,0))&amp;" has the best margin ("&amp;TEXT(MAX(J54:J58),"0%")&amp;").")</f>
        <v>Mix: Laptop leads with 49% of revenue; Accessories has the best margin (38%).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9.5" hidden="false" customHeight="true" outlineLevel="0" collapsed="false">
      <c r="B46" s="10" t="str">
        <f aca="false">IF(SUM(C65:C69)=0,"","Geography: "&amp;INDEX(B65:B69,MATCH(MAX(C65:C69),C65:C69,0))&amp;" is the top region with "&amp;TEXT(MAX(C65:C69)/SUM(C65:C69),"0%")&amp;" of revenue in this view.")</f>
        <v>Geography: Kano is the top region with 26% of revenue in this view.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customFormat="false" ht="19.5" hidden="false" customHeight="true" outlineLevel="0" collapsed="false">
      <c r="B47" s="10" t="str">
        <f aca="false">IF(SUM(H65:H68)=0,"","Channel: "&amp;INDEX(G65:G68,MATCH(MAX(H65:H68),H65:H68,0))&amp;" brings the most revenue ("&amp;TEXT(MAX(H65:H68)/SUM(H65:H68),"0%")&amp;" of this view).")</f>
        <v>Channel: Online brings the most revenue (36% of this view).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52" customFormat="false" ht="15" hidden="false" customHeight="false" outlineLevel="0" collapsed="false">
      <c r="B52" s="8" t="s">
        <v>36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customFormat="false" ht="15" hidden="false" customHeight="false" outlineLevel="0" collapsed="false">
      <c r="B53" s="27" t="s">
        <v>37</v>
      </c>
      <c r="C53" s="27" t="s">
        <v>38</v>
      </c>
      <c r="D53" s="27" t="s">
        <v>39</v>
      </c>
      <c r="E53" s="27" t="s">
        <v>40</v>
      </c>
      <c r="G53" s="27" t="s">
        <v>41</v>
      </c>
      <c r="H53" s="27" t="s">
        <v>38</v>
      </c>
      <c r="I53" s="27" t="s">
        <v>39</v>
      </c>
      <c r="J53" s="27" t="s">
        <v>40</v>
      </c>
    </row>
    <row r="54" customFormat="false" ht="15" hidden="false" customHeight="false" outlineLevel="0" collapsed="false">
      <c r="A54" s="28" t="n">
        <v>1</v>
      </c>
      <c r="B54" s="29" t="s">
        <v>42</v>
      </c>
      <c r="C54" s="30" t="n">
        <f aca="false">SUMIFS('Sales Data'!$L$2:$L$161,'Sales Data'!$D$2:$D$161,$Q$5,'Sales Data'!$G$2:$G$161,$Q$6,'Sales Data'!$E$2:$E$161,$Q$7,'Sales Data'!$C$2:$C$161,$A54)</f>
        <v>17854867</v>
      </c>
      <c r="D54" s="30" t="n">
        <f aca="false">SUMIFS('Sales Data'!$N$2:$N$161,'Sales Data'!$D$2:$D$161,$Q$5,'Sales Data'!$G$2:$G$161,$Q$6,'Sales Data'!$E$2:$E$161,$Q$7,'Sales Data'!$C$2:$C$161,$A54)</f>
        <v>4362595.26</v>
      </c>
      <c r="E54" s="31" t="n">
        <f aca="false">IF(C54=0,0,D54/C54)</f>
        <v>0.244336474755035</v>
      </c>
      <c r="G54" s="29" t="s">
        <v>43</v>
      </c>
      <c r="H54" s="30" t="n">
        <f aca="false">SUMIFS('Sales Data'!$L$2:$L$161,'Sales Data'!$D$2:$D$161,$Q$5,'Sales Data'!$E$2:$E$161,$Q$7,'Sales Data'!$G$2:$G$161,G54)</f>
        <v>5583778</v>
      </c>
      <c r="I54" s="30" t="n">
        <f aca="false">SUMIFS('Sales Data'!$N$2:$N$161,'Sales Data'!$D$2:$D$161,$Q$5,'Sales Data'!$E$2:$E$161,$Q$7,'Sales Data'!$G$2:$G$161,G54)</f>
        <v>2121835.64</v>
      </c>
      <c r="J54" s="31" t="n">
        <f aca="false">IF(H54=0,0,I54/H54)</f>
        <v>0.38</v>
      </c>
    </row>
    <row r="55" customFormat="false" ht="15" hidden="false" customHeight="false" outlineLevel="0" collapsed="false">
      <c r="A55" s="28" t="n">
        <v>2</v>
      </c>
      <c r="B55" s="29" t="s">
        <v>44</v>
      </c>
      <c r="C55" s="30" t="n">
        <f aca="false">SUMIFS('Sales Data'!$L$2:$L$161,'Sales Data'!$D$2:$D$161,$Q$5,'Sales Data'!$G$2:$G$161,$Q$6,'Sales Data'!$E$2:$E$161,$Q$7,'Sales Data'!$C$2:$C$161,$A55)</f>
        <v>12097380</v>
      </c>
      <c r="D55" s="30" t="n">
        <f aca="false">SUMIFS('Sales Data'!$N$2:$N$161,'Sales Data'!$D$2:$D$161,$Q$5,'Sales Data'!$G$2:$G$161,$Q$6,'Sales Data'!$E$2:$E$161,$Q$7,'Sales Data'!$C$2:$C$161,$A55)</f>
        <v>2978729.28</v>
      </c>
      <c r="E55" s="31" t="n">
        <f aca="false">IF(C55=0,0,D55/C55)</f>
        <v>0.246229289317191</v>
      </c>
      <c r="G55" s="29" t="s">
        <v>45</v>
      </c>
      <c r="H55" s="30" t="n">
        <f aca="false">SUMIFS('Sales Data'!$L$2:$L$161,'Sales Data'!$D$2:$D$161,$Q$5,'Sales Data'!$E$2:$E$161,$Q$7,'Sales Data'!$G$2:$G$161,G55)</f>
        <v>65978459</v>
      </c>
      <c r="I55" s="30" t="n">
        <f aca="false">SUMIFS('Sales Data'!$N$2:$N$161,'Sales Data'!$D$2:$D$161,$Q$5,'Sales Data'!$E$2:$E$161,$Q$7,'Sales Data'!$G$2:$G$161,G55)</f>
        <v>15834830.16</v>
      </c>
      <c r="J55" s="31" t="n">
        <f aca="false">IF(H55=0,0,I55/H55)</f>
        <v>0.24</v>
      </c>
    </row>
    <row r="56" customFormat="false" ht="15" hidden="false" customHeight="false" outlineLevel="0" collapsed="false">
      <c r="A56" s="28" t="n">
        <v>3</v>
      </c>
      <c r="B56" s="29" t="s">
        <v>46</v>
      </c>
      <c r="C56" s="30" t="n">
        <f aca="false">SUMIFS('Sales Data'!$L$2:$L$161,'Sales Data'!$D$2:$D$161,$Q$5,'Sales Data'!$G$2:$G$161,$Q$6,'Sales Data'!$E$2:$E$161,$Q$7,'Sales Data'!$C$2:$C$161,$A56)</f>
        <v>16999140</v>
      </c>
      <c r="D56" s="30" t="n">
        <f aca="false">SUMIFS('Sales Data'!$N$2:$N$161,'Sales Data'!$D$2:$D$161,$Q$5,'Sales Data'!$G$2:$G$161,$Q$6,'Sales Data'!$E$2:$E$161,$Q$7,'Sales Data'!$C$2:$C$161,$A56)</f>
        <v>4178289.48</v>
      </c>
      <c r="E56" s="31" t="n">
        <f aca="false">IF(C56=0,0,D56/C56)</f>
        <v>0.245794168410873</v>
      </c>
      <c r="G56" s="29" t="s">
        <v>47</v>
      </c>
      <c r="H56" s="30" t="n">
        <f aca="false">SUMIFS('Sales Data'!$L$2:$L$161,'Sales Data'!$D$2:$D$161,$Q$5,'Sales Data'!$E$2:$E$161,$Q$7,'Sales Data'!$G$2:$G$161,G56)</f>
        <v>10056238</v>
      </c>
      <c r="I56" s="30" t="n">
        <f aca="false">SUMIFS('Sales Data'!$N$2:$N$161,'Sales Data'!$D$2:$D$161,$Q$5,'Sales Data'!$E$2:$E$161,$Q$7,'Sales Data'!$G$2:$G$161,G56)</f>
        <v>3016871.4</v>
      </c>
      <c r="J56" s="31" t="n">
        <f aca="false">IF(H56=0,0,I56/H56)</f>
        <v>0.3</v>
      </c>
    </row>
    <row r="57" customFormat="false" ht="15" hidden="false" customHeight="false" outlineLevel="0" collapsed="false">
      <c r="A57" s="28" t="n">
        <v>4</v>
      </c>
      <c r="B57" s="29" t="s">
        <v>48</v>
      </c>
      <c r="C57" s="30" t="n">
        <f aca="false">SUMIFS('Sales Data'!$L$2:$L$161,'Sales Data'!$D$2:$D$161,$Q$5,'Sales Data'!$G$2:$G$161,$Q$6,'Sales Data'!$E$2:$E$161,$Q$7,'Sales Data'!$C$2:$C$161,$A57)</f>
        <v>7524347</v>
      </c>
      <c r="D57" s="30" t="n">
        <f aca="false">SUMIFS('Sales Data'!$N$2:$N$161,'Sales Data'!$D$2:$D$161,$Q$5,'Sales Data'!$G$2:$G$161,$Q$6,'Sales Data'!$E$2:$E$161,$Q$7,'Sales Data'!$C$2:$C$161,$A57)</f>
        <v>1807814.66</v>
      </c>
      <c r="E57" s="31" t="n">
        <f aca="false">IF(C57=0,0,D57/C57)</f>
        <v>0.240262000144331</v>
      </c>
      <c r="G57" s="29" t="s">
        <v>49</v>
      </c>
      <c r="H57" s="30" t="n">
        <f aca="false">SUMIFS('Sales Data'!$L$2:$L$161,'Sales Data'!$D$2:$D$161,$Q$5,'Sales Data'!$E$2:$E$161,$Q$7,'Sales Data'!$G$2:$G$161,G57)</f>
        <v>42593731</v>
      </c>
      <c r="I57" s="30" t="n">
        <f aca="false">SUMIFS('Sales Data'!$N$2:$N$161,'Sales Data'!$D$2:$D$161,$Q$5,'Sales Data'!$E$2:$E$161,$Q$7,'Sales Data'!$G$2:$G$161,G57)</f>
        <v>9370620.82</v>
      </c>
      <c r="J57" s="31" t="n">
        <f aca="false">IF(H57=0,0,I57/H57)</f>
        <v>0.22</v>
      </c>
    </row>
    <row r="58" customFormat="false" ht="15" hidden="false" customHeight="false" outlineLevel="0" collapsed="false">
      <c r="A58" s="28" t="n">
        <v>5</v>
      </c>
      <c r="B58" s="29" t="s">
        <v>50</v>
      </c>
      <c r="C58" s="30" t="n">
        <f aca="false">SUMIFS('Sales Data'!$L$2:$L$161,'Sales Data'!$D$2:$D$161,$Q$5,'Sales Data'!$G$2:$G$161,$Q$6,'Sales Data'!$E$2:$E$161,$Q$7,'Sales Data'!$C$2:$C$161,$A58)</f>
        <v>12970356</v>
      </c>
      <c r="D58" s="30" t="n">
        <f aca="false">SUMIFS('Sales Data'!$N$2:$N$161,'Sales Data'!$D$2:$D$161,$Q$5,'Sales Data'!$G$2:$G$161,$Q$6,'Sales Data'!$E$2:$E$161,$Q$7,'Sales Data'!$C$2:$C$161,$A58)</f>
        <v>3245398.98</v>
      </c>
      <c r="E58" s="31" t="n">
        <f aca="false">IF(C58=0,0,D58/C58)</f>
        <v>0.250216646327981</v>
      </c>
      <c r="G58" s="29" t="s">
        <v>51</v>
      </c>
      <c r="H58" s="30" t="n">
        <f aca="false">SUMIFS('Sales Data'!$L$2:$L$161,'Sales Data'!$D$2:$D$161,$Q$5,'Sales Data'!$E$2:$E$161,$Q$7,'Sales Data'!$G$2:$G$161,G58)</f>
        <v>10028805</v>
      </c>
      <c r="I58" s="30" t="n">
        <f aca="false">SUMIFS('Sales Data'!$N$2:$N$161,'Sales Data'!$D$2:$D$161,$Q$5,'Sales Data'!$E$2:$E$161,$Q$7,'Sales Data'!$G$2:$G$161,G58)</f>
        <v>2607489.3</v>
      </c>
      <c r="J58" s="31" t="n">
        <f aca="false">IF(H58=0,0,I58/H58)</f>
        <v>0.26</v>
      </c>
    </row>
    <row r="59" customFormat="false" ht="15" hidden="false" customHeight="false" outlineLevel="0" collapsed="false">
      <c r="A59" s="28" t="n">
        <v>6</v>
      </c>
      <c r="B59" s="29" t="s">
        <v>52</v>
      </c>
      <c r="C59" s="30" t="n">
        <f aca="false">SUMIFS('Sales Data'!$L$2:$L$161,'Sales Data'!$D$2:$D$161,$Q$5,'Sales Data'!$G$2:$G$161,$Q$6,'Sales Data'!$E$2:$E$161,$Q$7,'Sales Data'!$C$2:$C$161,$A59)</f>
        <v>22937260</v>
      </c>
      <c r="D59" s="30" t="n">
        <f aca="false">SUMIFS('Sales Data'!$N$2:$N$161,'Sales Data'!$D$2:$D$161,$Q$5,'Sales Data'!$G$2:$G$161,$Q$6,'Sales Data'!$E$2:$E$161,$Q$7,'Sales Data'!$C$2:$C$161,$A59)</f>
        <v>5543836.14</v>
      </c>
      <c r="E59" s="31" t="n">
        <f aca="false">IF(C59=0,0,D59/C59)</f>
        <v>0.241695657633039</v>
      </c>
    </row>
    <row r="60" customFormat="false" ht="15" hidden="false" customHeight="false" outlineLevel="0" collapsed="false">
      <c r="A60" s="28" t="n">
        <v>7</v>
      </c>
      <c r="B60" s="29" t="s">
        <v>53</v>
      </c>
      <c r="C60" s="30" t="n">
        <f aca="false">SUMIFS('Sales Data'!$L$2:$L$161,'Sales Data'!$D$2:$D$161,$Q$5,'Sales Data'!$G$2:$G$161,$Q$6,'Sales Data'!$E$2:$E$161,$Q$7,'Sales Data'!$C$2:$C$161,$A60)</f>
        <v>12298898</v>
      </c>
      <c r="D60" s="30" t="n">
        <f aca="false">SUMIFS('Sales Data'!$N$2:$N$161,'Sales Data'!$D$2:$D$161,$Q$5,'Sales Data'!$G$2:$G$161,$Q$6,'Sales Data'!$E$2:$E$161,$Q$7,'Sales Data'!$C$2:$C$161,$A60)</f>
        <v>3054556.84</v>
      </c>
      <c r="E60" s="31" t="n">
        <f aca="false">IF(C60=0,0,D60/C60)</f>
        <v>0.248360205930645</v>
      </c>
    </row>
    <row r="61" customFormat="false" ht="15" hidden="false" customHeight="false" outlineLevel="0" collapsed="false">
      <c r="A61" s="28" t="n">
        <v>8</v>
      </c>
      <c r="B61" s="29" t="s">
        <v>54</v>
      </c>
      <c r="C61" s="30" t="n">
        <f aca="false">SUMIFS('Sales Data'!$L$2:$L$161,'Sales Data'!$D$2:$D$161,$Q$5,'Sales Data'!$G$2:$G$161,$Q$6,'Sales Data'!$E$2:$E$161,$Q$7,'Sales Data'!$C$2:$C$161,$A61)</f>
        <v>18390684</v>
      </c>
      <c r="D61" s="30" t="n">
        <f aca="false">SUMIFS('Sales Data'!$N$2:$N$161,'Sales Data'!$D$2:$D$161,$Q$5,'Sales Data'!$G$2:$G$161,$Q$6,'Sales Data'!$E$2:$E$161,$Q$7,'Sales Data'!$C$2:$C$161,$A61)</f>
        <v>4440462.14</v>
      </c>
      <c r="E61" s="31" t="n">
        <f aca="false">IF(C61=0,0,D61/C61)</f>
        <v>0.241451712182103</v>
      </c>
    </row>
    <row r="62" customFormat="false" ht="15" hidden="false" customHeight="false" outlineLevel="0" collapsed="false">
      <c r="A62" s="28" t="n">
        <v>9</v>
      </c>
      <c r="B62" s="29" t="s">
        <v>55</v>
      </c>
      <c r="C62" s="30" t="n">
        <f aca="false">SUMIFS('Sales Data'!$L$2:$L$161,'Sales Data'!$D$2:$D$161,$Q$5,'Sales Data'!$G$2:$G$161,$Q$6,'Sales Data'!$E$2:$E$161,$Q$7,'Sales Data'!$C$2:$C$161,$A62)</f>
        <v>13168079</v>
      </c>
      <c r="D62" s="30" t="n">
        <f aca="false">SUMIFS('Sales Data'!$N$2:$N$161,'Sales Data'!$D$2:$D$161,$Q$5,'Sales Data'!$G$2:$G$161,$Q$6,'Sales Data'!$E$2:$E$161,$Q$7,'Sales Data'!$C$2:$C$161,$A62)</f>
        <v>3339964.54</v>
      </c>
      <c r="E62" s="31" t="n">
        <f aca="false">IF(C62=0,0,D62/C62)</f>
        <v>0.253640985902348</v>
      </c>
    </row>
    <row r="64" customFormat="false" ht="15" hidden="false" customHeight="false" outlineLevel="0" collapsed="false">
      <c r="B64" s="27" t="s">
        <v>56</v>
      </c>
      <c r="C64" s="27" t="s">
        <v>38</v>
      </c>
      <c r="D64" s="27" t="s">
        <v>39</v>
      </c>
      <c r="E64" s="27" t="s">
        <v>40</v>
      </c>
      <c r="G64" s="27" t="s">
        <v>57</v>
      </c>
      <c r="H64" s="27" t="s">
        <v>38</v>
      </c>
      <c r="I64" s="27" t="s">
        <v>39</v>
      </c>
      <c r="J64" s="27" t="s">
        <v>40</v>
      </c>
    </row>
    <row r="65" customFormat="false" ht="15" hidden="false" customHeight="false" outlineLevel="0" collapsed="false">
      <c r="B65" s="29" t="s">
        <v>58</v>
      </c>
      <c r="C65" s="30" t="n">
        <f aca="false">SUMIFS('Sales Data'!$L$2:$L$161,'Sales Data'!$G$2:$G$161,$Q$6,'Sales Data'!$E$2:$E$161,$Q$7,'Sales Data'!$D$2:$D$161,B65)</f>
        <v>32393721</v>
      </c>
      <c r="D65" s="30" t="n">
        <f aca="false">SUMIFS('Sales Data'!$N$2:$N$161,'Sales Data'!$G$2:$G$161,$Q$6,'Sales Data'!$E$2:$E$161,$Q$7,'Sales Data'!$D$2:$D$161,B65)</f>
        <v>7849497.88</v>
      </c>
      <c r="E65" s="31" t="n">
        <f aca="false">IF(C65=0,0,D65/C65)</f>
        <v>0.242315412915978</v>
      </c>
      <c r="G65" s="29" t="s">
        <v>59</v>
      </c>
      <c r="H65" s="30" t="n">
        <f aca="false">SUMIFS('Sales Data'!$L$2:$L$161,'Sales Data'!$D$2:$D$161,$Q$5,'Sales Data'!$G$2:$G$161,$Q$6,'Sales Data'!$E$2:$E$161,G65)</f>
        <v>48640713</v>
      </c>
      <c r="I65" s="30" t="n">
        <f aca="false">SUMIFS('Sales Data'!$N$2:$N$161,'Sales Data'!$D$2:$D$161,$Q$5,'Sales Data'!$G$2:$G$161,$Q$6,'Sales Data'!$E$2:$E$161,G65)</f>
        <v>11933061.7</v>
      </c>
      <c r="J65" s="31" t="n">
        <f aca="false">IF(H65=0,0,I65/H65)</f>
        <v>0.245330731480026</v>
      </c>
    </row>
    <row r="66" customFormat="false" ht="15" hidden="false" customHeight="false" outlineLevel="0" collapsed="false">
      <c r="B66" s="29" t="s">
        <v>60</v>
      </c>
      <c r="C66" s="30" t="n">
        <f aca="false">SUMIFS('Sales Data'!$L$2:$L$161,'Sales Data'!$G$2:$G$161,$Q$6,'Sales Data'!$E$2:$E$161,$Q$7,'Sales Data'!$D$2:$D$161,B66)</f>
        <v>17277519</v>
      </c>
      <c r="D66" s="30" t="n">
        <f aca="false">SUMIFS('Sales Data'!$N$2:$N$161,'Sales Data'!$G$2:$G$161,$Q$6,'Sales Data'!$E$2:$E$161,$Q$7,'Sales Data'!$D$2:$D$161,B66)</f>
        <v>4284288.26</v>
      </c>
      <c r="E66" s="31" t="n">
        <f aca="false">IF(C66=0,0,D66/C66)</f>
        <v>0.247968950866152</v>
      </c>
      <c r="G66" s="29" t="s">
        <v>61</v>
      </c>
      <c r="H66" s="30" t="n">
        <f aca="false">SUMIFS('Sales Data'!$L$2:$L$161,'Sales Data'!$D$2:$D$161,$Q$5,'Sales Data'!$G$2:$G$161,$Q$6,'Sales Data'!$E$2:$E$161,G66)</f>
        <v>22963625</v>
      </c>
      <c r="I66" s="30" t="n">
        <f aca="false">SUMIFS('Sales Data'!$N$2:$N$161,'Sales Data'!$D$2:$D$161,$Q$5,'Sales Data'!$G$2:$G$161,$Q$6,'Sales Data'!$E$2:$E$161,G66)</f>
        <v>5471775.62</v>
      </c>
      <c r="J66" s="31" t="n">
        <f aca="false">IF(H66=0,0,I66/H66)</f>
        <v>0.238280133036487</v>
      </c>
    </row>
    <row r="67" customFormat="false" ht="15" hidden="false" customHeight="false" outlineLevel="0" collapsed="false">
      <c r="B67" s="29" t="s">
        <v>62</v>
      </c>
      <c r="C67" s="30" t="n">
        <f aca="false">SUMIFS('Sales Data'!$L$2:$L$161,'Sales Data'!$G$2:$G$161,$Q$6,'Sales Data'!$E$2:$E$161,$Q$7,'Sales Data'!$D$2:$D$161,B67)</f>
        <v>35509711</v>
      </c>
      <c r="D67" s="30" t="n">
        <f aca="false">SUMIFS('Sales Data'!$N$2:$N$161,'Sales Data'!$G$2:$G$161,$Q$6,'Sales Data'!$E$2:$E$161,$Q$7,'Sales Data'!$D$2:$D$161,B67)</f>
        <v>8740976.68</v>
      </c>
      <c r="E67" s="31" t="n">
        <f aca="false">IF(C67=0,0,D67/C67)</f>
        <v>0.246157359039053</v>
      </c>
      <c r="G67" s="29" t="s">
        <v>63</v>
      </c>
      <c r="H67" s="30" t="n">
        <f aca="false">SUMIFS('Sales Data'!$L$2:$L$161,'Sales Data'!$D$2:$D$161,$Q$5,'Sales Data'!$G$2:$G$161,$Q$6,'Sales Data'!$E$2:$E$161,G67)</f>
        <v>35202963</v>
      </c>
      <c r="I67" s="30" t="n">
        <f aca="false">SUMIFS('Sales Data'!$N$2:$N$161,'Sales Data'!$D$2:$D$161,$Q$5,'Sales Data'!$G$2:$G$161,$Q$6,'Sales Data'!$E$2:$E$161,G67)</f>
        <v>8798601.12</v>
      </c>
      <c r="J67" s="31" t="n">
        <f aca="false">IF(H67=0,0,I67/H67)</f>
        <v>0.249939220173029</v>
      </c>
    </row>
    <row r="68" customFormat="false" ht="15" hidden="false" customHeight="false" outlineLevel="0" collapsed="false">
      <c r="B68" s="29" t="s">
        <v>64</v>
      </c>
      <c r="C68" s="30" t="n">
        <f aca="false">SUMIFS('Sales Data'!$L$2:$L$161,'Sales Data'!$G$2:$G$161,$Q$6,'Sales Data'!$E$2:$E$161,$Q$7,'Sales Data'!$D$2:$D$161,B68)</f>
        <v>22474912</v>
      </c>
      <c r="D68" s="30" t="n">
        <f aca="false">SUMIFS('Sales Data'!$N$2:$N$161,'Sales Data'!$G$2:$G$161,$Q$6,'Sales Data'!$E$2:$E$161,$Q$7,'Sales Data'!$D$2:$D$161,B68)</f>
        <v>5424885.22</v>
      </c>
      <c r="E68" s="31" t="n">
        <f aca="false">IF(C68=0,0,D68/C68)</f>
        <v>0.241375148432172</v>
      </c>
      <c r="G68" s="29" t="s">
        <v>65</v>
      </c>
      <c r="H68" s="30" t="n">
        <f aca="false">SUMIFS('Sales Data'!$L$2:$L$161,'Sales Data'!$D$2:$D$161,$Q$5,'Sales Data'!$G$2:$G$161,$Q$6,'Sales Data'!$E$2:$E$161,G68)</f>
        <v>27433710</v>
      </c>
      <c r="I68" s="30" t="n">
        <f aca="false">SUMIFS('Sales Data'!$N$2:$N$161,'Sales Data'!$D$2:$D$161,$Q$5,'Sales Data'!$G$2:$G$161,$Q$6,'Sales Data'!$E$2:$E$161,G68)</f>
        <v>6748208.88</v>
      </c>
      <c r="J68" s="31" t="n">
        <f aca="false">IF(H68=0,0,I68/H68)</f>
        <v>0.245982365491215</v>
      </c>
    </row>
    <row r="69" customFormat="false" ht="15" hidden="false" customHeight="false" outlineLevel="0" collapsed="false">
      <c r="B69" s="29" t="s">
        <v>66</v>
      </c>
      <c r="C69" s="30" t="n">
        <f aca="false">SUMIFS('Sales Data'!$L$2:$L$161,'Sales Data'!$G$2:$G$161,$Q$6,'Sales Data'!$E$2:$E$161,$Q$7,'Sales Data'!$D$2:$D$161,B69)</f>
        <v>26585148</v>
      </c>
      <c r="D69" s="30" t="n">
        <f aca="false">SUMIFS('Sales Data'!$N$2:$N$161,'Sales Data'!$G$2:$G$161,$Q$6,'Sales Data'!$E$2:$E$161,$Q$7,'Sales Data'!$D$2:$D$161,B69)</f>
        <v>6651999.28</v>
      </c>
      <c r="E69" s="31" t="n">
        <f aca="false">IF(C69=0,0,D69/C69)</f>
        <v>0.250214867338711</v>
      </c>
    </row>
  </sheetData>
  <mergeCells count="26">
    <mergeCell ref="B2:M2"/>
    <mergeCell ref="B3:M3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43:M43"/>
    <mergeCell ref="B44:M44"/>
    <mergeCell ref="B45:M45"/>
    <mergeCell ref="B46:M46"/>
    <mergeCell ref="B47:M47"/>
    <mergeCell ref="B52:M52"/>
  </mergeCells>
  <dataValidations count="3">
    <dataValidation allowBlank="false" errorStyle="stop" operator="between" showDropDown="false" showErrorMessage="false" showInputMessage="false" sqref="C5" type="list">
      <formula1>"All,Abuja,Ibadan,Kano,Lagos,Port Harcourt"</formula1>
      <formula2>0</formula2>
    </dataValidation>
    <dataValidation allowBlank="false" errorStyle="stop" operator="between" showDropDown="false" showErrorMessage="false" showInputMessage="false" sqref="F5" type="list">
      <formula1>"All,Accessories,Laptop,Monitor,Smartphone,Tablet"</formula1>
      <formula2>0</formula2>
    </dataValidation>
    <dataValidation allowBlank="false" errorStyle="stop" operator="between" showDropDown="false" showErrorMessage="false" showInputMessage="false" sqref="I5" type="list">
      <formula1>"All,Online,Referral,Retail Store,WhatsApp"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495B"/>
    <pageSetUpPr fitToPage="true"/>
  </sheetPr>
  <dimension ref="A2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0" min="4" style="0" width="16"/>
  </cols>
  <sheetData>
    <row r="2" customFormat="false" ht="39.75" hidden="false" customHeight="true" outlineLevel="0" collapsed="false">
      <c r="B2" s="16" t="s">
        <v>67</v>
      </c>
      <c r="C2" s="16"/>
      <c r="D2" s="16"/>
      <c r="E2" s="16"/>
      <c r="F2" s="16"/>
      <c r="G2" s="16"/>
      <c r="H2" s="16"/>
      <c r="I2" s="16"/>
      <c r="J2" s="16"/>
    </row>
    <row r="3" customFormat="false" ht="15" hidden="false" customHeight="false" outlineLevel="0" collapsed="false">
      <c r="B3" s="32" t="s">
        <v>68</v>
      </c>
    </row>
    <row r="5" customFormat="false" ht="15" hidden="false" customHeight="false" outlineLevel="0" collapsed="false">
      <c r="B5" s="8" t="s">
        <v>69</v>
      </c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B6" s="27" t="s">
        <v>41</v>
      </c>
      <c r="C6" s="27" t="s">
        <v>70</v>
      </c>
      <c r="D6" s="27" t="s">
        <v>71</v>
      </c>
      <c r="E6" s="27" t="s">
        <v>38</v>
      </c>
      <c r="F6" s="27" t="s">
        <v>72</v>
      </c>
      <c r="G6" s="27" t="s">
        <v>39</v>
      </c>
      <c r="H6" s="27" t="s">
        <v>73</v>
      </c>
      <c r="I6" s="27" t="s">
        <v>74</v>
      </c>
      <c r="J6" s="27" t="s">
        <v>75</v>
      </c>
    </row>
    <row r="7" customFormat="false" ht="15" hidden="false" customHeight="false" outlineLevel="0" collapsed="false">
      <c r="B7" s="33" t="s">
        <v>43</v>
      </c>
      <c r="C7" s="34" t="n">
        <f aca="false">COUNTIFS('Sales Data'!$G$2:$G$161,$B7)</f>
        <v>34</v>
      </c>
      <c r="D7" s="34" t="n">
        <f aca="false">SUMIFS('Sales Data'!$H$2:$H$161,'Sales Data'!$G$2:$G$161,$B7)</f>
        <v>91</v>
      </c>
      <c r="E7" s="30" t="n">
        <f aca="false">SUMIFS('Sales Data'!$L$2:$L$161,'Sales Data'!$G$2:$G$161,$B7)</f>
        <v>5583778</v>
      </c>
      <c r="F7" s="31" t="n">
        <f aca="false">E7/$E$12</f>
        <v>0.041595172432067</v>
      </c>
      <c r="G7" s="30" t="n">
        <f aca="false">SUMIFS('Sales Data'!$N$2:$N$161,'Sales Data'!$G$2:$G$161,$B7)</f>
        <v>2121835.64</v>
      </c>
      <c r="H7" s="31" t="n">
        <f aca="false">G7/E7</f>
        <v>0.38</v>
      </c>
      <c r="I7" s="35" t="n">
        <f aca="false">AVERAGEIFS('Sales Data'!$Q$2:$Q$161,'Sales Data'!$G$2:$G$161,$B7)</f>
        <v>4.02647058823529</v>
      </c>
      <c r="J7" s="30" t="n">
        <f aca="false">G7/C7</f>
        <v>62406.9305882353</v>
      </c>
    </row>
    <row r="8" customFormat="false" ht="15" hidden="false" customHeight="false" outlineLevel="0" collapsed="false">
      <c r="B8" s="33" t="s">
        <v>45</v>
      </c>
      <c r="C8" s="34" t="n">
        <f aca="false">COUNTIFS('Sales Data'!$G$2:$G$161,$B8)</f>
        <v>47</v>
      </c>
      <c r="D8" s="34" t="n">
        <f aca="false">SUMIFS('Sales Data'!$H$2:$H$161,'Sales Data'!$G$2:$G$161,$B8)</f>
        <v>134</v>
      </c>
      <c r="E8" s="30" t="n">
        <f aca="false">SUMIFS('Sales Data'!$L$2:$L$161,'Sales Data'!$G$2:$G$161,$B8)</f>
        <v>65978459</v>
      </c>
      <c r="F8" s="31" t="n">
        <f aca="false">E8/$E$12</f>
        <v>0.49149256630673</v>
      </c>
      <c r="G8" s="30" t="n">
        <f aca="false">SUMIFS('Sales Data'!$N$2:$N$161,'Sales Data'!$G$2:$G$161,$B8)</f>
        <v>15834830.16</v>
      </c>
      <c r="H8" s="31" t="n">
        <f aca="false">G8/E8</f>
        <v>0.24</v>
      </c>
      <c r="I8" s="35" t="n">
        <f aca="false">AVERAGEIFS('Sales Data'!$Q$2:$Q$161,'Sales Data'!$G$2:$G$161,$B8)</f>
        <v>4.1063829787234</v>
      </c>
      <c r="J8" s="30" t="n">
        <f aca="false">G8/C8</f>
        <v>336911.28</v>
      </c>
    </row>
    <row r="9" customFormat="false" ht="15" hidden="false" customHeight="false" outlineLevel="0" collapsed="false">
      <c r="B9" s="33" t="s">
        <v>47</v>
      </c>
      <c r="C9" s="34" t="n">
        <f aca="false">COUNTIFS('Sales Data'!$G$2:$G$161,$B9)</f>
        <v>18</v>
      </c>
      <c r="D9" s="34" t="n">
        <f aca="false">SUMIFS('Sales Data'!$H$2:$H$161,'Sales Data'!$G$2:$G$161,$B9)</f>
        <v>58</v>
      </c>
      <c r="E9" s="30" t="n">
        <f aca="false">SUMIFS('Sales Data'!$L$2:$L$161,'Sales Data'!$G$2:$G$161,$B9)</f>
        <v>10056238</v>
      </c>
      <c r="F9" s="31" t="n">
        <f aca="false">E9/$E$12</f>
        <v>0.0749118166280795</v>
      </c>
      <c r="G9" s="30" t="n">
        <f aca="false">SUMIFS('Sales Data'!$N$2:$N$161,'Sales Data'!$G$2:$G$161,$B9)</f>
        <v>3016871.4</v>
      </c>
      <c r="H9" s="31" t="n">
        <f aca="false">G9/E9</f>
        <v>0.3</v>
      </c>
      <c r="I9" s="35" t="n">
        <f aca="false">AVERAGEIFS('Sales Data'!$Q$2:$Q$161,'Sales Data'!$G$2:$G$161,$B9)</f>
        <v>3.97777777777778</v>
      </c>
      <c r="J9" s="30" t="n">
        <f aca="false">G9/C9</f>
        <v>167603.966666667</v>
      </c>
    </row>
    <row r="10" customFormat="false" ht="15" hidden="false" customHeight="false" outlineLevel="0" collapsed="false">
      <c r="B10" s="33" t="s">
        <v>49</v>
      </c>
      <c r="C10" s="34" t="n">
        <f aca="false">COUNTIFS('Sales Data'!$G$2:$G$161,$B10)</f>
        <v>43</v>
      </c>
      <c r="D10" s="34" t="n">
        <f aca="false">SUMIFS('Sales Data'!$H$2:$H$161,'Sales Data'!$G$2:$G$161,$B10)</f>
        <v>146</v>
      </c>
      <c r="E10" s="30" t="n">
        <f aca="false">SUMIFS('Sales Data'!$L$2:$L$161,'Sales Data'!$G$2:$G$161,$B10)</f>
        <v>42593731</v>
      </c>
      <c r="F10" s="31" t="n">
        <f aca="false">E10/$E$12</f>
        <v>0.317292984332485</v>
      </c>
      <c r="G10" s="30" t="n">
        <f aca="false">SUMIFS('Sales Data'!$N$2:$N$161,'Sales Data'!$G$2:$G$161,$B10)</f>
        <v>9370620.82</v>
      </c>
      <c r="H10" s="31" t="n">
        <f aca="false">G10/E10</f>
        <v>0.22</v>
      </c>
      <c r="I10" s="35" t="n">
        <f aca="false">AVERAGEIFS('Sales Data'!$Q$2:$Q$161,'Sales Data'!$G$2:$G$161,$B10)</f>
        <v>4.07906976744186</v>
      </c>
      <c r="J10" s="30" t="n">
        <f aca="false">G10/C10</f>
        <v>217921.414418605</v>
      </c>
    </row>
    <row r="11" customFormat="false" ht="15" hidden="false" customHeight="false" outlineLevel="0" collapsed="false">
      <c r="B11" s="33" t="s">
        <v>51</v>
      </c>
      <c r="C11" s="34" t="n">
        <f aca="false">COUNTIFS('Sales Data'!$G$2:$G$161,$B11)</f>
        <v>18</v>
      </c>
      <c r="D11" s="34" t="n">
        <f aca="false">SUMIFS('Sales Data'!$H$2:$H$161,'Sales Data'!$G$2:$G$161,$B11)</f>
        <v>51</v>
      </c>
      <c r="E11" s="30" t="n">
        <f aca="false">SUMIFS('Sales Data'!$L$2:$L$161,'Sales Data'!$G$2:$G$161,$B11)</f>
        <v>10028805</v>
      </c>
      <c r="F11" s="31" t="n">
        <f aca="false">E11/$E$12</f>
        <v>0.0747074603006379</v>
      </c>
      <c r="G11" s="30" t="n">
        <f aca="false">SUMIFS('Sales Data'!$N$2:$N$161,'Sales Data'!$G$2:$G$161,$B11)</f>
        <v>2607489.3</v>
      </c>
      <c r="H11" s="31" t="n">
        <f aca="false">G11/E11</f>
        <v>0.26</v>
      </c>
      <c r="I11" s="35" t="n">
        <f aca="false">AVERAGEIFS('Sales Data'!$Q$2:$Q$161,'Sales Data'!$G$2:$G$161,$B11)</f>
        <v>4.23333333333333</v>
      </c>
      <c r="J11" s="30" t="n">
        <f aca="false">G11/C11</f>
        <v>144860.516666667</v>
      </c>
    </row>
    <row r="12" customFormat="false" ht="15" hidden="false" customHeight="false" outlineLevel="0" collapsed="false">
      <c r="B12" s="36" t="s">
        <v>76</v>
      </c>
      <c r="C12" s="37" t="n">
        <f aca="false">SUM(C7:C11)</f>
        <v>160</v>
      </c>
      <c r="D12" s="37" t="n">
        <f aca="false">SUM(D7:D11)</f>
        <v>480</v>
      </c>
      <c r="E12" s="38" t="n">
        <f aca="false">SUM(E7:E11)</f>
        <v>134241011</v>
      </c>
      <c r="F12" s="39" t="n">
        <f aca="false">SUM(F7:F11)</f>
        <v>1</v>
      </c>
      <c r="G12" s="38" t="n">
        <f aca="false">SUM(G7:G11)</f>
        <v>32951647.32</v>
      </c>
      <c r="H12" s="39" t="n">
        <f aca="false">G12/E12</f>
        <v>0.245466322657537</v>
      </c>
      <c r="I12" s="40" t="n">
        <f aca="false">AVERAGE('Sales Data'!$Q$2:$Q$161)</f>
        <v>4.081875</v>
      </c>
      <c r="J12" s="38" t="n">
        <f aca="false">G12/C12</f>
        <v>205947.79575</v>
      </c>
    </row>
    <row r="14" customFormat="false" ht="15" hidden="false" customHeight="false" outlineLevel="0" collapsed="false">
      <c r="B14" s="8" t="s">
        <v>77</v>
      </c>
      <c r="C14" s="8"/>
      <c r="D14" s="8"/>
      <c r="E14" s="8"/>
      <c r="F14" s="8"/>
      <c r="G14" s="8"/>
      <c r="H14" s="8"/>
      <c r="I14" s="8"/>
      <c r="J14" s="8"/>
    </row>
    <row r="15" customFormat="false" ht="23.85" hidden="false" customHeight="false" outlineLevel="0" collapsed="false">
      <c r="B15" s="27" t="s">
        <v>56</v>
      </c>
      <c r="C15" s="27" t="s">
        <v>43</v>
      </c>
      <c r="D15" s="27" t="s">
        <v>45</v>
      </c>
      <c r="E15" s="27" t="s">
        <v>47</v>
      </c>
      <c r="F15" s="27" t="s">
        <v>49</v>
      </c>
      <c r="G15" s="27" t="s">
        <v>51</v>
      </c>
      <c r="H15" s="27" t="s">
        <v>76</v>
      </c>
      <c r="I15" s="27" t="s">
        <v>78</v>
      </c>
      <c r="J15" s="27" t="s">
        <v>79</v>
      </c>
    </row>
    <row r="16" customFormat="false" ht="15" hidden="false" customHeight="false" outlineLevel="0" collapsed="false">
      <c r="B16" s="33" t="s">
        <v>58</v>
      </c>
      <c r="C16" s="30" t="n">
        <f aca="false">SUMIFS('Sales Data'!$L$2:$L$161,'Sales Data'!$D$2:$D$161,$B16,'Sales Data'!$G$2:$G$161,C$15)</f>
        <v>917370</v>
      </c>
      <c r="D16" s="30" t="n">
        <f aca="false">SUMIFS('Sales Data'!$L$2:$L$161,'Sales Data'!$D$2:$D$161,$B16,'Sales Data'!$G$2:$G$161,D$15)</f>
        <v>15368903</v>
      </c>
      <c r="E16" s="30" t="n">
        <f aca="false">SUMIFS('Sales Data'!$L$2:$L$161,'Sales Data'!$D$2:$D$161,$B16,'Sales Data'!$G$2:$G$161,E$15)</f>
        <v>1852521</v>
      </c>
      <c r="F16" s="30" t="n">
        <f aca="false">SUMIFS('Sales Data'!$L$2:$L$161,'Sales Data'!$D$2:$D$161,$B16,'Sales Data'!$G$2:$G$161,F$15)</f>
        <v>11241919</v>
      </c>
      <c r="G16" s="30" t="n">
        <f aca="false">SUMIFS('Sales Data'!$L$2:$L$161,'Sales Data'!$D$2:$D$161,$B16,'Sales Data'!$G$2:$G$161,G$15)</f>
        <v>3013008</v>
      </c>
      <c r="H16" s="41" t="n">
        <f aca="false">SUM(C16:G16)</f>
        <v>32393721</v>
      </c>
      <c r="I16" s="42" t="str">
        <f aca="false">INDEX($C$15:$G$15,MATCH(MAX(C16:G16),C16:G16,0))</f>
        <v>Laptop</v>
      </c>
      <c r="J16" s="43" t="n">
        <f aca="false">MAX(C16:G16)/H16</f>
        <v>0.474440802895104</v>
      </c>
    </row>
    <row r="17" customFormat="false" ht="15" hidden="false" customHeight="false" outlineLevel="0" collapsed="false">
      <c r="B17" s="33" t="s">
        <v>60</v>
      </c>
      <c r="C17" s="30" t="n">
        <f aca="false">SUMIFS('Sales Data'!$L$2:$L$161,'Sales Data'!$D$2:$D$161,$B17,'Sales Data'!$G$2:$G$161,C$15)</f>
        <v>1082435</v>
      </c>
      <c r="D17" s="30" t="n">
        <f aca="false">SUMIFS('Sales Data'!$L$2:$L$161,'Sales Data'!$D$2:$D$161,$B17,'Sales Data'!$G$2:$G$161,D$15)</f>
        <v>8595044</v>
      </c>
      <c r="E17" s="30" t="n">
        <f aca="false">SUMIFS('Sales Data'!$L$2:$L$161,'Sales Data'!$D$2:$D$161,$B17,'Sales Data'!$G$2:$G$161,E$15)</f>
        <v>856060</v>
      </c>
      <c r="F17" s="30" t="n">
        <f aca="false">SUMIFS('Sales Data'!$L$2:$L$161,'Sales Data'!$D$2:$D$161,$B17,'Sales Data'!$G$2:$G$161,F$15)</f>
        <v>5002510</v>
      </c>
      <c r="G17" s="30" t="n">
        <f aca="false">SUMIFS('Sales Data'!$L$2:$L$161,'Sales Data'!$D$2:$D$161,$B17,'Sales Data'!$G$2:$G$161,G$15)</f>
        <v>1741470</v>
      </c>
      <c r="H17" s="41" t="n">
        <f aca="false">SUM(C17:G17)</f>
        <v>17277519</v>
      </c>
      <c r="I17" s="42" t="str">
        <f aca="false">INDEX($C$15:$G$15,MATCH(MAX(C17:G17),C17:G17,0))</f>
        <v>Laptop</v>
      </c>
      <c r="J17" s="43" t="n">
        <f aca="false">MAX(C17:G17)/H17</f>
        <v>0.497469804547748</v>
      </c>
    </row>
    <row r="18" customFormat="false" ht="15" hidden="false" customHeight="false" outlineLevel="0" collapsed="false">
      <c r="B18" s="33" t="s">
        <v>62</v>
      </c>
      <c r="C18" s="30" t="n">
        <f aca="false">SUMIFS('Sales Data'!$L$2:$L$161,'Sales Data'!$D$2:$D$161,$B18,'Sales Data'!$G$2:$G$161,C$15)</f>
        <v>2183153</v>
      </c>
      <c r="D18" s="30" t="n">
        <f aca="false">SUMIFS('Sales Data'!$L$2:$L$161,'Sales Data'!$D$2:$D$161,$B18,'Sales Data'!$G$2:$G$161,D$15)</f>
        <v>21244073</v>
      </c>
      <c r="E18" s="30" t="n">
        <f aca="false">SUMIFS('Sales Data'!$L$2:$L$161,'Sales Data'!$D$2:$D$161,$B18,'Sales Data'!$G$2:$G$161,E$15)</f>
        <v>1734979</v>
      </c>
      <c r="F18" s="30" t="n">
        <f aca="false">SUMIFS('Sales Data'!$L$2:$L$161,'Sales Data'!$D$2:$D$161,$B18,'Sales Data'!$G$2:$G$161,F$15)</f>
        <v>9951106</v>
      </c>
      <c r="G18" s="30" t="n">
        <f aca="false">SUMIFS('Sales Data'!$L$2:$L$161,'Sales Data'!$D$2:$D$161,$B18,'Sales Data'!$G$2:$G$161,G$15)</f>
        <v>396400</v>
      </c>
      <c r="H18" s="41" t="n">
        <f aca="false">SUM(C18:G18)</f>
        <v>35509711</v>
      </c>
      <c r="I18" s="42" t="str">
        <f aca="false">INDEX($C$15:$G$15,MATCH(MAX(C18:G18),C18:G18,0))</f>
        <v>Laptop</v>
      </c>
      <c r="J18" s="43" t="n">
        <f aca="false">MAX(C18:G18)/H18</f>
        <v>0.598260937691101</v>
      </c>
    </row>
    <row r="19" customFormat="false" ht="15" hidden="false" customHeight="false" outlineLevel="0" collapsed="false">
      <c r="B19" s="33" t="s">
        <v>64</v>
      </c>
      <c r="C19" s="30" t="n">
        <f aca="false">SUMIFS('Sales Data'!$L$2:$L$161,'Sales Data'!$D$2:$D$161,$B19,'Sales Data'!$G$2:$G$161,C$15)</f>
        <v>392640</v>
      </c>
      <c r="D19" s="30" t="n">
        <f aca="false">SUMIFS('Sales Data'!$L$2:$L$161,'Sales Data'!$D$2:$D$161,$B19,'Sales Data'!$G$2:$G$161,D$15)</f>
        <v>9587519</v>
      </c>
      <c r="E19" s="30" t="n">
        <f aca="false">SUMIFS('Sales Data'!$L$2:$L$161,'Sales Data'!$D$2:$D$161,$B19,'Sales Data'!$G$2:$G$161,E$15)</f>
        <v>1804640</v>
      </c>
      <c r="F19" s="30" t="n">
        <f aca="false">SUMIFS('Sales Data'!$L$2:$L$161,'Sales Data'!$D$2:$D$161,$B19,'Sales Data'!$G$2:$G$161,F$15)</f>
        <v>8653598</v>
      </c>
      <c r="G19" s="30" t="n">
        <f aca="false">SUMIFS('Sales Data'!$L$2:$L$161,'Sales Data'!$D$2:$D$161,$B19,'Sales Data'!$G$2:$G$161,G$15)</f>
        <v>2036515</v>
      </c>
      <c r="H19" s="41" t="n">
        <f aca="false">SUM(C19:G19)</f>
        <v>22474912</v>
      </c>
      <c r="I19" s="42" t="str">
        <f aca="false">INDEX($C$15:$G$15,MATCH(MAX(C19:G19),C19:G19,0))</f>
        <v>Laptop</v>
      </c>
      <c r="J19" s="43" t="n">
        <f aca="false">MAX(C19:G19)/H19</f>
        <v>0.426587610220676</v>
      </c>
    </row>
    <row r="20" customFormat="false" ht="15" hidden="false" customHeight="false" outlineLevel="0" collapsed="false">
      <c r="B20" s="33" t="s">
        <v>66</v>
      </c>
      <c r="C20" s="30" t="n">
        <f aca="false">SUMIFS('Sales Data'!$L$2:$L$161,'Sales Data'!$D$2:$D$161,$B20,'Sales Data'!$G$2:$G$161,C$15)</f>
        <v>1008180</v>
      </c>
      <c r="D20" s="30" t="n">
        <f aca="false">SUMIFS('Sales Data'!$L$2:$L$161,'Sales Data'!$D$2:$D$161,$B20,'Sales Data'!$G$2:$G$161,D$15)</f>
        <v>11182920</v>
      </c>
      <c r="E20" s="30" t="n">
        <f aca="false">SUMIFS('Sales Data'!$L$2:$L$161,'Sales Data'!$D$2:$D$161,$B20,'Sales Data'!$G$2:$G$161,E$15)</f>
        <v>3808038</v>
      </c>
      <c r="F20" s="30" t="n">
        <f aca="false">SUMIFS('Sales Data'!$L$2:$L$161,'Sales Data'!$D$2:$D$161,$B20,'Sales Data'!$G$2:$G$161,F$15)</f>
        <v>7744598</v>
      </c>
      <c r="G20" s="30" t="n">
        <f aca="false">SUMIFS('Sales Data'!$L$2:$L$161,'Sales Data'!$D$2:$D$161,$B20,'Sales Data'!$G$2:$G$161,G$15)</f>
        <v>2841412</v>
      </c>
      <c r="H20" s="41" t="n">
        <f aca="false">SUM(C20:G20)</f>
        <v>26585148</v>
      </c>
      <c r="I20" s="42" t="str">
        <f aca="false">INDEX($C$15:$G$15,MATCH(MAX(C20:G20),C20:G20,0))</f>
        <v>Laptop</v>
      </c>
      <c r="J20" s="43" t="n">
        <f aca="false">MAX(C20:G20)/H20</f>
        <v>0.420645391930863</v>
      </c>
    </row>
    <row r="21" customFormat="false" ht="15" hidden="false" customHeight="false" outlineLevel="0" collapsed="false">
      <c r="B21" s="36" t="s">
        <v>76</v>
      </c>
      <c r="C21" s="38" t="n">
        <f aca="false">SUM(C16:C20)</f>
        <v>5583778</v>
      </c>
      <c r="D21" s="38" t="n">
        <f aca="false">SUM(D16:D20)</f>
        <v>65978459</v>
      </c>
      <c r="E21" s="38" t="n">
        <f aca="false">SUM(E16:E20)</f>
        <v>10056238</v>
      </c>
      <c r="F21" s="38" t="n">
        <f aca="false">SUM(F16:F20)</f>
        <v>42593731</v>
      </c>
      <c r="G21" s="38" t="n">
        <f aca="false">SUM(G16:G20)</f>
        <v>10028805</v>
      </c>
      <c r="H21" s="38" t="n">
        <f aca="false">SUM(H16:H20)</f>
        <v>134241011</v>
      </c>
    </row>
    <row r="23" customFormat="false" ht="15" hidden="false" customHeight="false" outlineLevel="0" collapsed="false">
      <c r="B23" s="8" t="s">
        <v>80</v>
      </c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27" t="s">
        <v>81</v>
      </c>
      <c r="C24" s="27" t="s">
        <v>70</v>
      </c>
      <c r="D24" s="27" t="s">
        <v>82</v>
      </c>
      <c r="E24" s="27" t="s">
        <v>83</v>
      </c>
      <c r="F24" s="27" t="s">
        <v>38</v>
      </c>
      <c r="G24" s="27" t="s">
        <v>73</v>
      </c>
      <c r="H24" s="27" t="s">
        <v>74</v>
      </c>
      <c r="I24" s="27" t="s">
        <v>84</v>
      </c>
    </row>
    <row r="25" customFormat="false" ht="15" hidden="false" customHeight="false" outlineLevel="0" collapsed="false">
      <c r="B25" s="44" t="n">
        <v>0</v>
      </c>
      <c r="C25" s="34" t="n">
        <f aca="false">COUNTIFS('Sales Data'!$K$2:$K$161,$B25)</f>
        <v>37</v>
      </c>
      <c r="D25" s="30" t="n">
        <f aca="false">SUMIFS('Sales Data'!$J$2:$J$161,'Sales Data'!$K$2:$K$161,$B25)</f>
        <v>26240600</v>
      </c>
      <c r="E25" s="30" t="n">
        <f aca="false">SUMIFS('Sales Data'!$P$2:$P$161,'Sales Data'!$K$2:$K$161,$B25)</f>
        <v>0</v>
      </c>
      <c r="F25" s="30" t="n">
        <f aca="false">SUMIFS('Sales Data'!$L$2:$L$161,'Sales Data'!$K$2:$K$161,$B25)</f>
        <v>26240600</v>
      </c>
      <c r="G25" s="31" t="n">
        <f aca="false">SUMIFS('Sales Data'!$N$2:$N$161,'Sales Data'!$K$2:$K$161,$B25)/F25</f>
        <v>0.245328841566123</v>
      </c>
      <c r="H25" s="35" t="n">
        <f aca="false">AVERAGEIFS('Sales Data'!$Q$2:$Q$161,'Sales Data'!$K$2:$K$161,$B25)</f>
        <v>4.08648648648649</v>
      </c>
      <c r="I25" s="30" t="n">
        <f aca="false">F25/C25</f>
        <v>709205.405405405</v>
      </c>
    </row>
    <row r="26" customFormat="false" ht="15" hidden="false" customHeight="false" outlineLevel="0" collapsed="false">
      <c r="B26" s="44" t="n">
        <v>0.03</v>
      </c>
      <c r="C26" s="34" t="n">
        <f aca="false">COUNTIFS('Sales Data'!$K$2:$K$161,$B26)</f>
        <v>25</v>
      </c>
      <c r="D26" s="30" t="n">
        <f aca="false">SUMIFS('Sales Data'!$J$2:$J$161,'Sales Data'!$K$2:$K$161,$B26)</f>
        <v>24064800</v>
      </c>
      <c r="E26" s="30" t="n">
        <f aca="false">SUMIFS('Sales Data'!$P$2:$P$161,'Sales Data'!$K$2:$K$161,$B26)</f>
        <v>721944</v>
      </c>
      <c r="F26" s="30" t="n">
        <f aca="false">SUMIFS('Sales Data'!$L$2:$L$161,'Sales Data'!$K$2:$K$161,$B26)</f>
        <v>23342856</v>
      </c>
      <c r="G26" s="31" t="n">
        <f aca="false">SUMIFS('Sales Data'!$N$2:$N$161,'Sales Data'!$K$2:$K$161,$B26)/F26</f>
        <v>0.243143512516206</v>
      </c>
      <c r="H26" s="35" t="n">
        <f aca="false">AVERAGEIFS('Sales Data'!$Q$2:$Q$161,'Sales Data'!$K$2:$K$161,$B26)</f>
        <v>4.172</v>
      </c>
      <c r="I26" s="30" t="n">
        <f aca="false">F26/C26</f>
        <v>933714.24</v>
      </c>
    </row>
    <row r="27" customFormat="false" ht="15" hidden="false" customHeight="false" outlineLevel="0" collapsed="false">
      <c r="B27" s="44" t="n">
        <v>0.05</v>
      </c>
      <c r="C27" s="34" t="n">
        <f aca="false">COUNTIFS('Sales Data'!$K$2:$K$161,$B27)</f>
        <v>38</v>
      </c>
      <c r="D27" s="30" t="n">
        <f aca="false">SUMIFS('Sales Data'!$J$2:$J$161,'Sales Data'!$K$2:$K$161,$B27)</f>
        <v>31362700</v>
      </c>
      <c r="E27" s="30" t="n">
        <f aca="false">SUMIFS('Sales Data'!$P$2:$P$161,'Sales Data'!$K$2:$K$161,$B27)</f>
        <v>1568135</v>
      </c>
      <c r="F27" s="30" t="n">
        <f aca="false">SUMIFS('Sales Data'!$L$2:$L$161,'Sales Data'!$K$2:$K$161,$B27)</f>
        <v>29794565</v>
      </c>
      <c r="G27" s="31" t="n">
        <f aca="false">SUMIFS('Sales Data'!$N$2:$N$161,'Sales Data'!$K$2:$K$161,$B27)/F27</f>
        <v>0.250752007958498</v>
      </c>
      <c r="H27" s="35" t="n">
        <f aca="false">AVERAGEIFS('Sales Data'!$Q$2:$Q$161,'Sales Data'!$K$2:$K$161,$B27)</f>
        <v>4.12368421052632</v>
      </c>
      <c r="I27" s="30" t="n">
        <f aca="false">F27/C27</f>
        <v>784067.5</v>
      </c>
    </row>
    <row r="28" customFormat="false" ht="15" hidden="false" customHeight="false" outlineLevel="0" collapsed="false">
      <c r="B28" s="44" t="n">
        <v>0.08</v>
      </c>
      <c r="C28" s="34" t="n">
        <f aca="false">COUNTIFS('Sales Data'!$K$2:$K$161,$B28)</f>
        <v>31</v>
      </c>
      <c r="D28" s="30" t="n">
        <f aca="false">SUMIFS('Sales Data'!$J$2:$J$161,'Sales Data'!$K$2:$K$161,$B28)</f>
        <v>35337500</v>
      </c>
      <c r="E28" s="30" t="n">
        <f aca="false">SUMIFS('Sales Data'!$P$2:$P$161,'Sales Data'!$K$2:$K$161,$B28)</f>
        <v>2827000</v>
      </c>
      <c r="F28" s="30" t="n">
        <f aca="false">SUMIFS('Sales Data'!$L$2:$L$161,'Sales Data'!$K$2:$K$161,$B28)</f>
        <v>32510500</v>
      </c>
      <c r="G28" s="31" t="n">
        <f aca="false">SUMIFS('Sales Data'!$N$2:$N$161,'Sales Data'!$K$2:$K$161,$B28)/F28</f>
        <v>0.238171234524231</v>
      </c>
      <c r="H28" s="35" t="n">
        <f aca="false">AVERAGEIFS('Sales Data'!$Q$2:$Q$161,'Sales Data'!$K$2:$K$161,$B28)</f>
        <v>3.99032258064516</v>
      </c>
      <c r="I28" s="30" t="n">
        <f aca="false">F28/C28</f>
        <v>1048725.80645161</v>
      </c>
    </row>
    <row r="29" customFormat="false" ht="15" hidden="false" customHeight="false" outlineLevel="0" collapsed="false">
      <c r="B29" s="44" t="n">
        <v>0.1</v>
      </c>
      <c r="C29" s="34" t="n">
        <f aca="false">COUNTIFS('Sales Data'!$K$2:$K$161,$B29)</f>
        <v>29</v>
      </c>
      <c r="D29" s="30" t="n">
        <f aca="false">SUMIFS('Sales Data'!$J$2:$J$161,'Sales Data'!$K$2:$K$161,$B29)</f>
        <v>24836100</v>
      </c>
      <c r="E29" s="30" t="n">
        <f aca="false">SUMIFS('Sales Data'!$P$2:$P$161,'Sales Data'!$K$2:$K$161,$B29)</f>
        <v>2483610</v>
      </c>
      <c r="F29" s="30" t="n">
        <f aca="false">SUMIFS('Sales Data'!$L$2:$L$161,'Sales Data'!$K$2:$K$161,$B29)</f>
        <v>22352490</v>
      </c>
      <c r="G29" s="31" t="n">
        <f aca="false">SUMIFS('Sales Data'!$N$2:$N$161,'Sales Data'!$K$2:$K$161,$B29)/F29</f>
        <v>0.251618249242031</v>
      </c>
      <c r="H29" s="35" t="n">
        <f aca="false">AVERAGEIFS('Sales Data'!$Q$2:$Q$161,'Sales Data'!$K$2:$K$161,$B29)</f>
        <v>4.04137931034483</v>
      </c>
      <c r="I29" s="30" t="n">
        <f aca="false">F29/C29</f>
        <v>770775.517241379</v>
      </c>
    </row>
    <row r="30" customFormat="false" ht="15" hidden="false" customHeight="false" outlineLevel="0" collapsed="false">
      <c r="B30" s="36" t="s">
        <v>76</v>
      </c>
      <c r="C30" s="37" t="n">
        <f aca="false">SUM(C25:C29)</f>
        <v>160</v>
      </c>
      <c r="D30" s="38" t="n">
        <f aca="false">SUM(D25:D29)</f>
        <v>141841700</v>
      </c>
      <c r="E30" s="38" t="n">
        <f aca="false">SUM(E25:E29)</f>
        <v>7600689</v>
      </c>
      <c r="F30" s="38" t="n">
        <f aca="false">SUM(F25:F29)</f>
        <v>134241011</v>
      </c>
      <c r="G30" s="39" t="n">
        <f aca="false">SUM('Sales Data'!$N$2:$N$161)/F30</f>
        <v>0.245466322657537</v>
      </c>
      <c r="H30" s="40" t="n">
        <f aca="false">AVERAGE('Sales Data'!$Q$2:$Q$161)</f>
        <v>4.081875</v>
      </c>
      <c r="I30" s="38" t="n">
        <f aca="false">F30/C30</f>
        <v>839006.31875</v>
      </c>
    </row>
    <row r="31" customFormat="false" ht="15" hidden="false" customHeight="false" outlineLevel="0" collapsed="false">
      <c r="B31" s="33" t="s">
        <v>85</v>
      </c>
      <c r="C31" s="33"/>
      <c r="D31" s="45" t="n">
        <f aca="false">CORREL('Sales Data'!$K$2:$K$161,'Sales Data'!$Q$2:$Q$161)</f>
        <v>-0.0665892720452467</v>
      </c>
      <c r="E31" s="46" t="s">
        <v>86</v>
      </c>
    </row>
    <row r="33" customFormat="false" ht="15" hidden="false" customHeight="false" outlineLevel="0" collapsed="false">
      <c r="B33" s="8" t="s">
        <v>87</v>
      </c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B34" s="27" t="s">
        <v>88</v>
      </c>
      <c r="C34" s="27" t="s">
        <v>70</v>
      </c>
      <c r="D34" s="27" t="s">
        <v>38</v>
      </c>
      <c r="E34" s="27" t="s">
        <v>72</v>
      </c>
      <c r="F34" s="27" t="s">
        <v>89</v>
      </c>
      <c r="G34" s="27" t="s">
        <v>73</v>
      </c>
      <c r="H34" s="27" t="s">
        <v>74</v>
      </c>
    </row>
    <row r="35" customFormat="false" ht="15" hidden="false" customHeight="false" outlineLevel="0" collapsed="false">
      <c r="B35" s="33" t="s">
        <v>90</v>
      </c>
      <c r="C35" s="34" t="n">
        <f aca="false">COUNTIFS('Sales Data'!$F$2:$F$161,$B35)</f>
        <v>66</v>
      </c>
      <c r="D35" s="30" t="n">
        <f aca="false">SUMIFS('Sales Data'!$L$2:$L$161,'Sales Data'!$F$2:$F$161,$B35)</f>
        <v>57466476</v>
      </c>
      <c r="E35" s="31" t="n">
        <f aca="false">D35/SUM('Sales Data'!$L$2:$L$161)</f>
        <v>0.428084350467235</v>
      </c>
      <c r="F35" s="30" t="n">
        <f aca="false">D35/C35</f>
        <v>870704.181818182</v>
      </c>
      <c r="G35" s="31" t="n">
        <f aca="false">SUMIFS('Sales Data'!$N$2:$N$161,'Sales Data'!$F$2:$F$161,$B35)/D35</f>
        <v>0.243399501998348</v>
      </c>
      <c r="H35" s="35" t="n">
        <f aca="false">AVERAGEIFS('Sales Data'!$Q$2:$Q$161,'Sales Data'!$F$2:$F$161,$B35)</f>
        <v>4.05909090909091</v>
      </c>
    </row>
    <row r="36" customFormat="false" ht="15" hidden="false" customHeight="false" outlineLevel="0" collapsed="false">
      <c r="B36" s="33" t="s">
        <v>91</v>
      </c>
      <c r="C36" s="34" t="n">
        <f aca="false">COUNTIFS('Sales Data'!$F$2:$F$161,$B36)</f>
        <v>71</v>
      </c>
      <c r="D36" s="30" t="n">
        <f aca="false">SUMIFS('Sales Data'!$L$2:$L$161,'Sales Data'!$F$2:$F$161,$B36)</f>
        <v>52494027</v>
      </c>
      <c r="E36" s="31" t="n">
        <f aca="false">D36/SUM('Sales Data'!$L$2:$L$161)</f>
        <v>0.391043144035916</v>
      </c>
      <c r="F36" s="30" t="n">
        <f aca="false">D36/C36</f>
        <v>739352.492957747</v>
      </c>
      <c r="G36" s="31" t="n">
        <f aca="false">SUMIFS('Sales Data'!$N$2:$N$161,'Sales Data'!$F$2:$F$161,$B36)/D36</f>
        <v>0.249987527914366</v>
      </c>
      <c r="H36" s="35" t="n">
        <f aca="false">AVERAGEIFS('Sales Data'!$Q$2:$Q$161,'Sales Data'!$F$2:$F$161,$B36)</f>
        <v>4.12535211267606</v>
      </c>
    </row>
    <row r="37" customFormat="false" ht="15" hidden="false" customHeight="false" outlineLevel="0" collapsed="false">
      <c r="B37" s="33" t="s">
        <v>92</v>
      </c>
      <c r="C37" s="34" t="n">
        <f aca="false">COUNTIFS('Sales Data'!$F$2:$F$161,$B37)</f>
        <v>23</v>
      </c>
      <c r="D37" s="30" t="n">
        <f aca="false">SUMIFS('Sales Data'!$L$2:$L$161,'Sales Data'!$F$2:$F$161,$B37)</f>
        <v>24280508</v>
      </c>
      <c r="E37" s="31" t="n">
        <f aca="false">D37/SUM('Sales Data'!$L$2:$L$161)</f>
        <v>0.180872505496849</v>
      </c>
      <c r="F37" s="30" t="n">
        <f aca="false">D37/C37</f>
        <v>1055674.26086957</v>
      </c>
      <c r="G37" s="31" t="n">
        <f aca="false">SUMIFS('Sales Data'!$N$2:$N$161,'Sales Data'!$F$2:$F$161,$B37)/D37</f>
        <v>0.240583254683139</v>
      </c>
      <c r="H37" s="35" t="n">
        <f aca="false">AVERAGEIFS('Sales Data'!$Q$2:$Q$161,'Sales Data'!$F$2:$F$161,$B37)</f>
        <v>4.01304347826087</v>
      </c>
    </row>
    <row r="39" customFormat="false" ht="15" hidden="false" customHeight="false" outlineLevel="0" collapsed="false">
      <c r="B39" s="27" t="s">
        <v>93</v>
      </c>
      <c r="C39" s="27" t="s">
        <v>70</v>
      </c>
      <c r="D39" s="27" t="s">
        <v>38</v>
      </c>
      <c r="E39" s="27" t="s">
        <v>72</v>
      </c>
      <c r="F39" s="27" t="s">
        <v>89</v>
      </c>
      <c r="G39" s="27" t="s">
        <v>73</v>
      </c>
      <c r="H39" s="27" t="s">
        <v>74</v>
      </c>
    </row>
    <row r="40" customFormat="false" ht="15" hidden="false" customHeight="false" outlineLevel="0" collapsed="false">
      <c r="B40" s="33" t="s">
        <v>59</v>
      </c>
      <c r="C40" s="34" t="n">
        <f aca="false">COUNTIFS('Sales Data'!$E$2:$E$161,$B40)</f>
        <v>58</v>
      </c>
      <c r="D40" s="30" t="n">
        <f aca="false">SUMIFS('Sales Data'!$L$2:$L$161,'Sales Data'!$E$2:$E$161,$B40)</f>
        <v>48640713</v>
      </c>
      <c r="E40" s="31" t="n">
        <f aca="false">D40/SUM('Sales Data'!$L$2:$L$161)</f>
        <v>0.362338696927722</v>
      </c>
      <c r="F40" s="30" t="n">
        <f aca="false">D40/C40</f>
        <v>838632.982758621</v>
      </c>
      <c r="G40" s="31" t="n">
        <f aca="false">SUMIFS('Sales Data'!$N$2:$N$161,'Sales Data'!$E$2:$E$161,$B40)/D40</f>
        <v>0.245330731480026</v>
      </c>
      <c r="H40" s="35" t="n">
        <f aca="false">AVERAGEIFS('Sales Data'!$Q$2:$Q$161,'Sales Data'!$E$2:$E$161,$B40)</f>
        <v>4.0448275862069</v>
      </c>
    </row>
    <row r="41" customFormat="false" ht="15" hidden="false" customHeight="false" outlineLevel="0" collapsed="false">
      <c r="B41" s="33" t="s">
        <v>61</v>
      </c>
      <c r="C41" s="34" t="n">
        <f aca="false">COUNTIFS('Sales Data'!$E$2:$E$161,$B41)</f>
        <v>22</v>
      </c>
      <c r="D41" s="30" t="n">
        <f aca="false">SUMIFS('Sales Data'!$L$2:$L$161,'Sales Data'!$E$2:$E$161,$B41)</f>
        <v>22963625</v>
      </c>
      <c r="E41" s="31" t="n">
        <f aca="false">D41/SUM('Sales Data'!$L$2:$L$161)</f>
        <v>0.171062664300107</v>
      </c>
      <c r="F41" s="30" t="n">
        <f aca="false">D41/C41</f>
        <v>1043801.13636364</v>
      </c>
      <c r="G41" s="31" t="n">
        <f aca="false">SUMIFS('Sales Data'!$N$2:$N$161,'Sales Data'!$E$2:$E$161,$B41)/D41</f>
        <v>0.238280133036487</v>
      </c>
      <c r="H41" s="35" t="n">
        <f aca="false">AVERAGEIFS('Sales Data'!$Q$2:$Q$161,'Sales Data'!$E$2:$E$161,$B41)</f>
        <v>4.15</v>
      </c>
    </row>
    <row r="42" customFormat="false" ht="15" hidden="false" customHeight="false" outlineLevel="0" collapsed="false">
      <c r="B42" s="33" t="s">
        <v>63</v>
      </c>
      <c r="C42" s="34" t="n">
        <f aca="false">COUNTIFS('Sales Data'!$E$2:$E$161,$B42)</f>
        <v>49</v>
      </c>
      <c r="D42" s="30" t="n">
        <f aca="false">SUMIFS('Sales Data'!$L$2:$L$161,'Sales Data'!$E$2:$E$161,$B42)</f>
        <v>35202963</v>
      </c>
      <c r="E42" s="31" t="n">
        <f aca="false">D42/SUM('Sales Data'!$L$2:$L$161)</f>
        <v>0.262237022335894</v>
      </c>
      <c r="F42" s="30" t="n">
        <f aca="false">D42/C42</f>
        <v>718427.816326531</v>
      </c>
      <c r="G42" s="31" t="n">
        <f aca="false">SUMIFS('Sales Data'!$N$2:$N$161,'Sales Data'!$E$2:$E$161,$B42)/D42</f>
        <v>0.249939220173029</v>
      </c>
      <c r="H42" s="35" t="n">
        <f aca="false">AVERAGEIFS('Sales Data'!$Q$2:$Q$161,'Sales Data'!$E$2:$E$161,$B42)</f>
        <v>4.08979591836735</v>
      </c>
    </row>
    <row r="43" customFormat="false" ht="15" hidden="false" customHeight="false" outlineLevel="0" collapsed="false">
      <c r="B43" s="33" t="s">
        <v>65</v>
      </c>
      <c r="C43" s="34" t="n">
        <f aca="false">COUNTIFS('Sales Data'!$E$2:$E$161,$B43)</f>
        <v>31</v>
      </c>
      <c r="D43" s="30" t="n">
        <f aca="false">SUMIFS('Sales Data'!$L$2:$L$161,'Sales Data'!$E$2:$E$161,$B43)</f>
        <v>27433710</v>
      </c>
      <c r="E43" s="31" t="n">
        <f aca="false">D43/SUM('Sales Data'!$L$2:$L$161)</f>
        <v>0.204361616436277</v>
      </c>
      <c r="F43" s="30" t="n">
        <f aca="false">D43/C43</f>
        <v>884958.387096774</v>
      </c>
      <c r="G43" s="31" t="n">
        <f aca="false">SUMIFS('Sales Data'!$N$2:$N$161,'Sales Data'!$E$2:$E$161,$B43)/D43</f>
        <v>0.245982365491215</v>
      </c>
      <c r="H43" s="35" t="n">
        <f aca="false">AVERAGEIFS('Sales Data'!$Q$2:$Q$161,'Sales Data'!$E$2:$E$161,$B43)</f>
        <v>4.09032258064516</v>
      </c>
    </row>
    <row r="45" customFormat="false" ht="15" hidden="false" customHeight="false" outlineLevel="0" collapsed="false">
      <c r="B45" s="8" t="s">
        <v>94</v>
      </c>
      <c r="C45" s="8"/>
      <c r="D45" s="8"/>
      <c r="E45" s="8"/>
      <c r="F45" s="8"/>
      <c r="G45" s="8"/>
      <c r="H45" s="8"/>
      <c r="I45" s="8"/>
      <c r="J45" s="8"/>
    </row>
    <row r="46" customFormat="false" ht="23.85" hidden="false" customHeight="false" outlineLevel="0" collapsed="false">
      <c r="B46" s="27" t="s">
        <v>37</v>
      </c>
      <c r="C46" s="27" t="s">
        <v>70</v>
      </c>
      <c r="D46" s="27" t="s">
        <v>38</v>
      </c>
      <c r="E46" s="27" t="s">
        <v>39</v>
      </c>
      <c r="F46" s="27" t="s">
        <v>73</v>
      </c>
      <c r="G46" s="27" t="s">
        <v>95</v>
      </c>
      <c r="H46" s="27" t="s">
        <v>96</v>
      </c>
    </row>
    <row r="47" customFormat="false" ht="15" hidden="false" customHeight="false" outlineLevel="0" collapsed="false">
      <c r="A47" s="28" t="n">
        <v>1</v>
      </c>
      <c r="B47" s="33" t="s">
        <v>42</v>
      </c>
      <c r="C47" s="34" t="n">
        <f aca="false">COUNTIFS('Sales Data'!$C$2:$C$161,$A47)</f>
        <v>22</v>
      </c>
      <c r="D47" s="30" t="n">
        <f aca="false">SUMIFS('Sales Data'!$L$2:$L$161,'Sales Data'!$C$2:$C$161,$A47)</f>
        <v>17854867</v>
      </c>
      <c r="E47" s="30" t="n">
        <f aca="false">SUMIFS('Sales Data'!$N$2:$N$161,'Sales Data'!$C$2:$C$161,$A47)</f>
        <v>4362595.26</v>
      </c>
      <c r="F47" s="31" t="n">
        <f aca="false">E47/D47</f>
        <v>0.244336474755035</v>
      </c>
      <c r="G47" s="47"/>
      <c r="H47" s="47" t="n">
        <f aca="false">D47/AVERAGE($D$47:$D$55)-1</f>
        <v>0.197054475401709</v>
      </c>
    </row>
    <row r="48" customFormat="false" ht="15" hidden="false" customHeight="false" outlineLevel="0" collapsed="false">
      <c r="A48" s="28" t="n">
        <v>2</v>
      </c>
      <c r="B48" s="33" t="s">
        <v>44</v>
      </c>
      <c r="C48" s="34" t="n">
        <f aca="false">COUNTIFS('Sales Data'!$C$2:$C$161,$A48)</f>
        <v>12</v>
      </c>
      <c r="D48" s="30" t="n">
        <f aca="false">SUMIFS('Sales Data'!$L$2:$L$161,'Sales Data'!$C$2:$C$161,$A48)</f>
        <v>12097380</v>
      </c>
      <c r="E48" s="30" t="n">
        <f aca="false">SUMIFS('Sales Data'!$N$2:$N$161,'Sales Data'!$C$2:$C$161,$A48)</f>
        <v>2978729.28</v>
      </c>
      <c r="F48" s="31" t="n">
        <f aca="false">E48/D48</f>
        <v>0.246229289317191</v>
      </c>
      <c r="G48" s="47" t="n">
        <f aca="false">D48/D47-1</f>
        <v>-0.322460368929099</v>
      </c>
      <c r="H48" s="47" t="n">
        <f aca="false">D48/AVERAGE($D$47:$D$55)-1</f>
        <v>-0.188948152364556</v>
      </c>
    </row>
    <row r="49" customFormat="false" ht="15" hidden="false" customHeight="false" outlineLevel="0" collapsed="false">
      <c r="A49" s="28" t="n">
        <v>3</v>
      </c>
      <c r="B49" s="33" t="s">
        <v>46</v>
      </c>
      <c r="C49" s="34" t="n">
        <f aca="false">COUNTIFS('Sales Data'!$C$2:$C$161,$A49)</f>
        <v>20</v>
      </c>
      <c r="D49" s="30" t="n">
        <f aca="false">SUMIFS('Sales Data'!$L$2:$L$161,'Sales Data'!$C$2:$C$161,$A49)</f>
        <v>16999140</v>
      </c>
      <c r="E49" s="30" t="n">
        <f aca="false">SUMIFS('Sales Data'!$N$2:$N$161,'Sales Data'!$C$2:$C$161,$A49)</f>
        <v>4178289.48</v>
      </c>
      <c r="F49" s="31" t="n">
        <f aca="false">E49/D49</f>
        <v>0.245794168410873</v>
      </c>
      <c r="G49" s="47" t="n">
        <f aca="false">D49/D48-1</f>
        <v>0.405191867991251</v>
      </c>
      <c r="H49" s="47" t="n">
        <f aca="false">D49/AVERAGE($D$47:$D$55)-1</f>
        <v>0.139683460816606</v>
      </c>
    </row>
    <row r="50" customFormat="false" ht="15" hidden="false" customHeight="false" outlineLevel="0" collapsed="false">
      <c r="A50" s="28" t="n">
        <v>4</v>
      </c>
      <c r="B50" s="33" t="s">
        <v>48</v>
      </c>
      <c r="C50" s="34" t="n">
        <f aca="false">COUNTIFS('Sales Data'!$C$2:$C$161,$A50)</f>
        <v>11</v>
      </c>
      <c r="D50" s="30" t="n">
        <f aca="false">SUMIFS('Sales Data'!$L$2:$L$161,'Sales Data'!$C$2:$C$161,$A50)</f>
        <v>7524347</v>
      </c>
      <c r="E50" s="30" t="n">
        <f aca="false">SUMIFS('Sales Data'!$N$2:$N$161,'Sales Data'!$C$2:$C$161,$A50)</f>
        <v>1807814.66</v>
      </c>
      <c r="F50" s="31" t="n">
        <f aca="false">E50/D50</f>
        <v>0.240262000144331</v>
      </c>
      <c r="G50" s="47" t="n">
        <f aca="false">D50/D49-1</f>
        <v>-0.557368961018028</v>
      </c>
      <c r="H50" s="47" t="n">
        <f aca="false">D50/AVERAGE($D$47:$D$55)-1</f>
        <v>-0.495540725628176</v>
      </c>
    </row>
    <row r="51" customFormat="false" ht="15" hidden="false" customHeight="false" outlineLevel="0" collapsed="false">
      <c r="A51" s="28" t="n">
        <v>5</v>
      </c>
      <c r="B51" s="33" t="s">
        <v>50</v>
      </c>
      <c r="C51" s="34" t="n">
        <f aca="false">COUNTIFS('Sales Data'!$C$2:$C$161,$A51)</f>
        <v>19</v>
      </c>
      <c r="D51" s="30" t="n">
        <f aca="false">SUMIFS('Sales Data'!$L$2:$L$161,'Sales Data'!$C$2:$C$161,$A51)</f>
        <v>12970356</v>
      </c>
      <c r="E51" s="30" t="n">
        <f aca="false">SUMIFS('Sales Data'!$N$2:$N$161,'Sales Data'!$C$2:$C$161,$A51)</f>
        <v>3245398.98</v>
      </c>
      <c r="F51" s="31" t="n">
        <f aca="false">E51/D51</f>
        <v>0.250216646327981</v>
      </c>
      <c r="G51" s="47" t="n">
        <f aca="false">D51/D50-1</f>
        <v>0.723784934426868</v>
      </c>
      <c r="H51" s="47" t="n">
        <f aca="false">D51/AVERAGE($D$47:$D$55)-1</f>
        <v>-0.130420702805941</v>
      </c>
    </row>
    <row r="52" customFormat="false" ht="15" hidden="false" customHeight="false" outlineLevel="0" collapsed="false">
      <c r="A52" s="28" t="n">
        <v>6</v>
      </c>
      <c r="B52" s="33" t="s">
        <v>52</v>
      </c>
      <c r="C52" s="34" t="n">
        <f aca="false">COUNTIFS('Sales Data'!$C$2:$C$161,$A52)</f>
        <v>22</v>
      </c>
      <c r="D52" s="30" t="n">
        <f aca="false">SUMIFS('Sales Data'!$L$2:$L$161,'Sales Data'!$C$2:$C$161,$A52)</f>
        <v>22937260</v>
      </c>
      <c r="E52" s="30" t="n">
        <f aca="false">SUMIFS('Sales Data'!$N$2:$N$161,'Sales Data'!$C$2:$C$161,$A52)</f>
        <v>5543836.14</v>
      </c>
      <c r="F52" s="31" t="n">
        <f aca="false">E52/D52</f>
        <v>0.241695657633039</v>
      </c>
      <c r="G52" s="47" t="n">
        <f aca="false">D52/D51-1</f>
        <v>0.768437196326762</v>
      </c>
      <c r="H52" s="47" t="n">
        <f aca="false">D52/AVERAGE($D$47:$D$55)-1</f>
        <v>0.537796374313659</v>
      </c>
    </row>
    <row r="53" customFormat="false" ht="15" hidden="false" customHeight="false" outlineLevel="0" collapsed="false">
      <c r="A53" s="28" t="n">
        <v>7</v>
      </c>
      <c r="B53" s="33" t="s">
        <v>53</v>
      </c>
      <c r="C53" s="34" t="n">
        <f aca="false">COUNTIFS('Sales Data'!$C$2:$C$161,$A53)</f>
        <v>14</v>
      </c>
      <c r="D53" s="30" t="n">
        <f aca="false">SUMIFS('Sales Data'!$L$2:$L$161,'Sales Data'!$C$2:$C$161,$A53)</f>
        <v>12298898</v>
      </c>
      <c r="E53" s="30" t="n">
        <f aca="false">SUMIFS('Sales Data'!$N$2:$N$161,'Sales Data'!$C$2:$C$161,$A53)</f>
        <v>3054556.84</v>
      </c>
      <c r="F53" s="31" t="n">
        <f aca="false">E53/D53</f>
        <v>0.248360205930645</v>
      </c>
      <c r="G53" s="47" t="n">
        <f aca="false">D53/D52-1</f>
        <v>-0.4638026512321</v>
      </c>
      <c r="H53" s="47" t="n">
        <f aca="false">D53/AVERAGE($D$47:$D$55)-1</f>
        <v>-0.175437661148127</v>
      </c>
    </row>
    <row r="54" customFormat="false" ht="15" hidden="false" customHeight="false" outlineLevel="0" collapsed="false">
      <c r="A54" s="28" t="n">
        <v>8</v>
      </c>
      <c r="B54" s="33" t="s">
        <v>54</v>
      </c>
      <c r="C54" s="34" t="n">
        <f aca="false">COUNTIFS('Sales Data'!$C$2:$C$161,$A54)</f>
        <v>22</v>
      </c>
      <c r="D54" s="30" t="n">
        <f aca="false">SUMIFS('Sales Data'!$L$2:$L$161,'Sales Data'!$C$2:$C$161,$A54)</f>
        <v>18390684</v>
      </c>
      <c r="E54" s="30" t="n">
        <f aca="false">SUMIFS('Sales Data'!$N$2:$N$161,'Sales Data'!$C$2:$C$161,$A54)</f>
        <v>4440462.14</v>
      </c>
      <c r="F54" s="31" t="n">
        <f aca="false">E54/D54</f>
        <v>0.241451712182103</v>
      </c>
      <c r="G54" s="47" t="n">
        <f aca="false">D54/D53-1</f>
        <v>0.495311531163199</v>
      </c>
      <c r="H54" s="47" t="n">
        <f aca="false">D54/AVERAGE($D$47:$D$55)-1</f>
        <v>0.232977573448102</v>
      </c>
    </row>
    <row r="55" customFormat="false" ht="15" hidden="false" customHeight="false" outlineLevel="0" collapsed="false">
      <c r="A55" s="28" t="n">
        <v>9</v>
      </c>
      <c r="B55" s="33" t="s">
        <v>55</v>
      </c>
      <c r="C55" s="34" t="n">
        <f aca="false">COUNTIFS('Sales Data'!$C$2:$C$161,$A55)</f>
        <v>18</v>
      </c>
      <c r="D55" s="30" t="n">
        <f aca="false">SUMIFS('Sales Data'!$L$2:$L$161,'Sales Data'!$C$2:$C$161,$A55)</f>
        <v>13168079</v>
      </c>
      <c r="E55" s="30" t="n">
        <f aca="false">SUMIFS('Sales Data'!$N$2:$N$161,'Sales Data'!$C$2:$C$161,$A55)</f>
        <v>3339964.54</v>
      </c>
      <c r="F55" s="31" t="n">
        <f aca="false">E55/D55</f>
        <v>0.253640985902348</v>
      </c>
      <c r="G55" s="47" t="n">
        <f aca="false">D55/D54-1</f>
        <v>-0.283981009080467</v>
      </c>
      <c r="H55" s="47" t="n">
        <f aca="false">D55/AVERAGE($D$47:$D$55)-1</f>
        <v>-0.117164642033275</v>
      </c>
    </row>
    <row r="56" customFormat="false" ht="15" hidden="false" customHeight="false" outlineLevel="0" collapsed="false">
      <c r="B56" s="36" t="s">
        <v>76</v>
      </c>
      <c r="C56" s="37" t="n">
        <f aca="false">SUM(C47:C55)</f>
        <v>160</v>
      </c>
      <c r="D56" s="38" t="n">
        <f aca="false">SUM(D47:D55)</f>
        <v>134241011</v>
      </c>
      <c r="E56" s="38" t="n">
        <f aca="false">SUM(E47:E55)</f>
        <v>32951647.32</v>
      </c>
      <c r="F56" s="39" t="n">
        <f aca="false">E56/D56</f>
        <v>0.245466322657537</v>
      </c>
    </row>
    <row r="58" customFormat="false" ht="15" hidden="false" customHeight="false" outlineLevel="0" collapsed="false">
      <c r="B58" s="8" t="s">
        <v>97</v>
      </c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B59" s="27" t="s">
        <v>98</v>
      </c>
      <c r="C59" s="27" t="s">
        <v>70</v>
      </c>
      <c r="D59" s="27" t="s">
        <v>99</v>
      </c>
      <c r="E59" s="27" t="s">
        <v>38</v>
      </c>
      <c r="F59" s="27" t="s">
        <v>100</v>
      </c>
      <c r="G59" s="27" t="s">
        <v>73</v>
      </c>
    </row>
    <row r="60" customFormat="false" ht="15" hidden="false" customHeight="false" outlineLevel="0" collapsed="false">
      <c r="B60" s="33" t="s">
        <v>101</v>
      </c>
      <c r="C60" s="34" t="n">
        <f aca="false">COUNTIFS('Sales Data'!$R$2:$R$161,$B60)</f>
        <v>25</v>
      </c>
      <c r="D60" s="43" t="n">
        <f aca="false">C60/COUNTA('Sales Data'!$A$2:$A$161)</f>
        <v>0.15625</v>
      </c>
      <c r="E60" s="30" t="n">
        <f aca="false">SUMIFS('Sales Data'!$L$2:$L$161,'Sales Data'!$R$2:$R$161,$B60)</f>
        <v>48028002</v>
      </c>
      <c r="F60" s="43" t="n">
        <f aca="false">E60/SUM('Sales Data'!$L$2:$L$161)</f>
        <v>0.357774436010468</v>
      </c>
      <c r="G60" s="31" t="n">
        <f aca="false">IF(E60=0,0,SUMIFS('Sales Data'!$N$2:$N$161,'Sales Data'!$R$2:$R$161,$B60)/E60)</f>
        <v>0.236739527078391</v>
      </c>
    </row>
    <row r="61" customFormat="false" ht="15" hidden="false" customHeight="false" outlineLevel="0" collapsed="false">
      <c r="B61" s="33" t="s">
        <v>102</v>
      </c>
      <c r="C61" s="34" t="n">
        <f aca="false">COUNTIFS('Sales Data'!$R$2:$R$161,$B61)</f>
        <v>75</v>
      </c>
      <c r="D61" s="43" t="n">
        <f aca="false">C61/COUNTA('Sales Data'!$A$2:$A$161)</f>
        <v>0.46875</v>
      </c>
      <c r="E61" s="30" t="n">
        <f aca="false">SUMIFS('Sales Data'!$L$2:$L$161,'Sales Data'!$R$2:$R$161,$B61)</f>
        <v>71954927</v>
      </c>
      <c r="F61" s="43" t="n">
        <f aca="false">E61/SUM('Sales Data'!$L$2:$L$161)</f>
        <v>0.536012999782905</v>
      </c>
      <c r="G61" s="31" t="n">
        <f aca="false">IF(E61=0,0,SUMIFS('Sales Data'!$N$2:$N$161,'Sales Data'!$R$2:$R$161,$B61)/E61)</f>
        <v>0.23915264204215</v>
      </c>
    </row>
    <row r="62" customFormat="false" ht="15" hidden="false" customHeight="false" outlineLevel="0" collapsed="false">
      <c r="B62" s="33" t="s">
        <v>103</v>
      </c>
      <c r="C62" s="34" t="n">
        <f aca="false">COUNTIFS('Sales Data'!$R$2:$R$161,$B62)</f>
        <v>60</v>
      </c>
      <c r="D62" s="43" t="n">
        <f aca="false">C62/COUNTA('Sales Data'!$A$2:$A$161)</f>
        <v>0.375</v>
      </c>
      <c r="E62" s="30" t="n">
        <f aca="false">SUMIFS('Sales Data'!$L$2:$L$161,'Sales Data'!$R$2:$R$161,$B62)</f>
        <v>14258082</v>
      </c>
      <c r="F62" s="43" t="n">
        <f aca="false">E62/SUM('Sales Data'!$L$2:$L$161)</f>
        <v>0.106212564206627</v>
      </c>
      <c r="G62" s="31" t="n">
        <f aca="false">IF(E62=0,0,SUMIFS('Sales Data'!$N$2:$N$161,'Sales Data'!$R$2:$R$161,$B62)/E62)</f>
        <v>0.306724981663032</v>
      </c>
    </row>
  </sheetData>
  <mergeCells count="8">
    <mergeCell ref="B2:J2"/>
    <mergeCell ref="B5:J5"/>
    <mergeCell ref="B14:J14"/>
    <mergeCell ref="B23:J23"/>
    <mergeCell ref="B31:C31"/>
    <mergeCell ref="B33:J33"/>
    <mergeCell ref="B45:J45"/>
    <mergeCell ref="B58:J58"/>
  </mergeCells>
  <conditionalFormatting sqref="F7:F11">
    <cfRule type="dataBar" priority="2">
      <dataBar showValue="1" minLength="10" maxLength="90">
        <cfvo type="num" val="0"/>
        <cfvo type="num" val="1"/>
        <color rgb="FF0E7C7B"/>
      </dataBar>
      <extLst>
        <ext xmlns:x14="http://schemas.microsoft.com/office/spreadsheetml/2009/9/main" uri="{B025F937-C7B1-47D3-B67F-A62EFF666E3E}">
          <x14:id>{F7C84013-EEDD-45BA-AF90-6F2760C0AB52}</x14:id>
        </ext>
      </extLst>
    </cfRule>
  </conditionalFormatting>
  <conditionalFormatting sqref="H7:H11">
    <cfRule type="colorScale" priority="3">
      <colorScale>
        <cfvo type="min" val="0"/>
        <cfvo type="max" val="0"/>
        <color rgb="FFFBD5D5"/>
        <color rgb="FF86D6A8"/>
      </colorScale>
    </cfRule>
  </conditionalFormatting>
  <conditionalFormatting sqref="C16:G20">
    <cfRule type="colorScale" priority="4">
      <colorScale>
        <cfvo type="min" val="0"/>
        <cfvo type="max" val="0"/>
        <color rgb="FFFFFFFF"/>
        <color rgb="FF0E7C7B"/>
      </colorScale>
    </cfRule>
  </conditionalFormatting>
  <conditionalFormatting sqref="G25:G29">
    <cfRule type="colorScale" priority="5">
      <colorScale>
        <cfvo type="min" val="0"/>
        <cfvo type="max" val="0"/>
        <color rgb="FFFBD5D5"/>
        <color rgb="FF86D6A8"/>
      </colorScale>
    </cfRule>
  </conditionalFormatting>
  <conditionalFormatting sqref="F35:F37">
    <cfRule type="dataBar" priority="6">
      <dataBar showValue="1" minLength="10" maxLength="90">
        <cfvo type="min" val="0"/>
        <cfvo type="max" val="0"/>
        <color rgb="FFE9B949"/>
      </dataBar>
      <extLst>
        <ext xmlns:x14="http://schemas.microsoft.com/office/spreadsheetml/2009/9/main" uri="{B025F937-C7B1-47D3-B67F-A62EFF666E3E}">
          <x14:id>{4FD6725A-A910-4589-BEAB-E58F3CF04714}</x14:id>
        </ext>
      </extLst>
    </cfRule>
  </conditionalFormatting>
  <conditionalFormatting sqref="F40:F43">
    <cfRule type="dataBar" priority="7">
      <dataBar showValue="1" minLength="10" maxLength="90">
        <cfvo type="min" val="0"/>
        <cfvo type="max" val="0"/>
        <color rgb="FFE9B949"/>
      </dataBar>
      <extLst>
        <ext xmlns:x14="http://schemas.microsoft.com/office/spreadsheetml/2009/9/main" uri="{B025F937-C7B1-47D3-B67F-A62EFF666E3E}">
          <x14:id>{36AF3812-409F-4B64-958B-50CEE1B0DC23}</x14:id>
        </ext>
      </extLst>
    </cfRule>
  </conditionalFormatting>
  <conditionalFormatting sqref="D47:D55">
    <cfRule type="dataBar" priority="8">
      <dataBar showValue="1" minLength="10" maxLength="90">
        <cfvo type="num" val="0"/>
        <cfvo type="max" val="0"/>
        <color rgb="FF0E7C7B"/>
      </dataBar>
      <extLst>
        <ext xmlns:x14="http://schemas.microsoft.com/office/spreadsheetml/2009/9/main" uri="{B025F937-C7B1-47D3-B67F-A62EFF666E3E}">
          <x14:id>{DB6525BE-B21C-4C24-AC42-36687A534668}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84013-EEDD-45BA-AF90-6F2760C0AB5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7C7B"/>
              <x14:axisColor rgb="FF000000"/>
            </x14:dataBar>
          </x14:cfRule>
          <xm:sqref>F7:F11</xm:sqref>
        </x14:conditionalFormatting>
        <x14:conditionalFormatting xmlns:xm="http://schemas.microsoft.com/office/excel/2006/main">
          <x14:cfRule type="dataBar" id="{4FD6725A-A910-4589-BEAB-E58F3CF04714}">
            <x14:dataBar minLength="10" maxLength="90" axisPosition="none" gradient="true">
              <x14:cfvo type="min"/>
              <x14:cfvo type="max"/>
              <x14:negativeFillColor rgb="FFE9B949"/>
              <x14:axisColor rgb="FF000000"/>
            </x14:dataBar>
          </x14:cfRule>
          <xm:sqref>F35:F37</xm:sqref>
        </x14:conditionalFormatting>
        <x14:conditionalFormatting xmlns:xm="http://schemas.microsoft.com/office/excel/2006/main">
          <x14:cfRule type="dataBar" id="{36AF3812-409F-4B64-958B-50CEE1B0DC23}">
            <x14:dataBar minLength="10" maxLength="90" axisPosition="none" gradient="true">
              <x14:cfvo type="min"/>
              <x14:cfvo type="max"/>
              <x14:negativeFillColor rgb="FFE9B949"/>
              <x14:axisColor rgb="FF000000"/>
            </x14:dataBar>
          </x14:cfRule>
          <xm:sqref>F40:F43</xm:sqref>
        </x14:conditionalFormatting>
        <x14:conditionalFormatting xmlns:xm="http://schemas.microsoft.com/office/excel/2006/main">
          <x14:cfRule type="dataBar" id="{DB6525BE-B21C-4C24-AC42-36687A534668}">
            <x14:dataBar minLength="10" maxLength="90" axisPosition="none" gradient="true">
              <x14:cfvo type="num">
                <xm:f>0</xm:f>
              </x14:cfvo>
              <x14:cfvo type="max"/>
              <x14:negativeFillColor rgb="FF0E7C7B"/>
              <x14:axisColor rgb="FF000000"/>
            </x14:dataBar>
          </x14:cfRule>
          <xm:sqref>D47:D55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B949"/>
    <pageSetUpPr fitToPage="tru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6"/>
    <col collapsed="false" customWidth="true" hidden="false" outlineLevel="0" max="7" min="7" style="0" width="40"/>
  </cols>
  <sheetData>
    <row r="2" customFormat="false" ht="39.75" hidden="false" customHeight="true" outlineLevel="0" collapsed="false">
      <c r="B2" s="16" t="s">
        <v>104</v>
      </c>
      <c r="C2" s="16"/>
      <c r="D2" s="16"/>
      <c r="E2" s="16"/>
      <c r="F2" s="16"/>
      <c r="G2" s="16"/>
    </row>
    <row r="3" customFormat="false" ht="15" hidden="false" customHeight="false" outlineLevel="0" collapsed="false">
      <c r="B3" s="32" t="s">
        <v>105</v>
      </c>
    </row>
    <row r="4" customFormat="false" ht="15" hidden="false" customHeight="false" outlineLevel="0" collapsed="false">
      <c r="B4" s="8" t="s">
        <v>106</v>
      </c>
      <c r="C4" s="8"/>
      <c r="D4" s="8"/>
      <c r="E4" s="8"/>
      <c r="F4" s="8"/>
      <c r="G4" s="8"/>
    </row>
    <row r="5" customFormat="false" ht="18" hidden="false" customHeight="true" outlineLevel="0" collapsed="false">
      <c r="B5" s="29" t="s">
        <v>107</v>
      </c>
      <c r="C5" s="48" t="n">
        <v>0.05</v>
      </c>
      <c r="D5" s="46" t="s">
        <v>108</v>
      </c>
    </row>
    <row r="6" customFormat="false" ht="15" hidden="false" customHeight="false" outlineLevel="0" collapsed="false">
      <c r="B6" s="29" t="s">
        <v>109</v>
      </c>
      <c r="C6" s="48" t="n">
        <v>0.1</v>
      </c>
      <c r="D6" s="46" t="s">
        <v>110</v>
      </c>
    </row>
    <row r="7" customFormat="false" ht="15" hidden="false" customHeight="false" outlineLevel="0" collapsed="false">
      <c r="B7" s="29" t="s">
        <v>111</v>
      </c>
      <c r="C7" s="48" t="n">
        <v>0.25</v>
      </c>
      <c r="D7" s="46" t="s">
        <v>112</v>
      </c>
    </row>
    <row r="8" customFormat="false" ht="15" hidden="false" customHeight="false" outlineLevel="0" collapsed="false">
      <c r="B8" s="29" t="s">
        <v>113</v>
      </c>
      <c r="C8" s="49" t="n">
        <v>1500000</v>
      </c>
      <c r="D8" s="46" t="s">
        <v>114</v>
      </c>
    </row>
    <row r="9" customFormat="false" ht="15" hidden="false" customHeight="false" outlineLevel="0" collapsed="false">
      <c r="B9" s="29" t="s">
        <v>115</v>
      </c>
      <c r="C9" s="49" t="n">
        <v>500000</v>
      </c>
      <c r="D9" s="46" t="s">
        <v>116</v>
      </c>
    </row>
    <row r="11" customFormat="false" ht="15" hidden="false" customHeight="false" outlineLevel="0" collapsed="false">
      <c r="B11" s="8" t="s">
        <v>117</v>
      </c>
      <c r="C11" s="8"/>
      <c r="D11" s="8"/>
      <c r="E11" s="8"/>
      <c r="F11" s="8"/>
      <c r="G11" s="8"/>
    </row>
    <row r="12" customFormat="false" ht="15" hidden="false" customHeight="false" outlineLevel="0" collapsed="false">
      <c r="B12" s="29" t="s">
        <v>118</v>
      </c>
      <c r="C12" s="50" t="n">
        <f aca="false">SUM('Sales Data'!$L$2:$L$161)</f>
        <v>134241011</v>
      </c>
    </row>
    <row r="13" customFormat="false" ht="15" hidden="false" customHeight="false" outlineLevel="0" collapsed="false">
      <c r="B13" s="29" t="s">
        <v>119</v>
      </c>
      <c r="C13" s="50" t="n">
        <f aca="false">SUM('Sales Data'!$N$2:$N$161)</f>
        <v>32951647.32</v>
      </c>
    </row>
    <row r="14" customFormat="false" ht="15" hidden="false" customHeight="false" outlineLevel="0" collapsed="false">
      <c r="B14" s="29" t="s">
        <v>120</v>
      </c>
      <c r="C14" s="51" t="n">
        <f aca="false">IF(C12=0,0,C13/C12)</f>
        <v>0.245466322657537</v>
      </c>
    </row>
    <row r="15" customFormat="false" ht="15" hidden="false" customHeight="false" outlineLevel="0" collapsed="false">
      <c r="B15" s="29" t="s">
        <v>121</v>
      </c>
      <c r="C15" s="50" t="n">
        <f aca="false">SUMPRODUCT(('Sales Data'!$K$2:$K$161&gt;$C$5+0.0001)*(('Sales Data'!$J$2:$J$161*(1-$C$5)-'Sales Data'!$M$2:$M$161)*(1-$C$6)-'Sales Data'!$N$2:$N$161))</f>
        <v>735000.968</v>
      </c>
    </row>
    <row r="16" customFormat="false" ht="15" hidden="false" customHeight="false" outlineLevel="0" collapsed="false">
      <c r="B16" s="29" t="s">
        <v>122</v>
      </c>
      <c r="C16" s="50" t="n">
        <f aca="false">SUMIFS('Sales Data'!$N$2:$N$161,'Sales Data'!$G$2:$G$161,"Accessories")*$C$7</f>
        <v>530458.91</v>
      </c>
    </row>
    <row r="17" customFormat="false" ht="15" hidden="false" customHeight="false" outlineLevel="0" collapsed="false">
      <c r="B17" s="33" t="s">
        <v>123</v>
      </c>
      <c r="C17" s="52" t="n">
        <f aca="false">C13+C15+C16</f>
        <v>34217107.198</v>
      </c>
      <c r="D17" s="53" t="s">
        <v>124</v>
      </c>
    </row>
    <row r="18" customFormat="false" ht="15" hidden="false" customHeight="false" outlineLevel="0" collapsed="false">
      <c r="B18" s="29" t="s">
        <v>125</v>
      </c>
      <c r="C18" s="51" t="n">
        <f aca="false">IF(C13=0,0,C17/C13-1)</f>
        <v>0.0384035391527127</v>
      </c>
    </row>
    <row r="19" customFormat="false" ht="15" hidden="false" customHeight="false" outlineLevel="0" collapsed="false">
      <c r="B19" s="29" t="s">
        <v>126</v>
      </c>
      <c r="C19" s="50" t="n">
        <f aca="false">SUMPRODUCT(('Sales Data'!$K$2:$K$161&gt;$C$5+0.0001)*('Sales Data'!$J$2:$J$161*(1-$C$5)*(1-$C$6)-'Sales Data'!$L$2:$L$161))+SUMIFS('Sales Data'!$L$2:$L$161,'Sales Data'!$G$2:$G$161,"Accessories")*$C$7</f>
        <v>-2018617.5</v>
      </c>
    </row>
    <row r="20" customFormat="false" ht="15" hidden="false" customHeight="false" outlineLevel="0" collapsed="false">
      <c r="B20" s="29" t="s">
        <v>127</v>
      </c>
      <c r="C20" s="51" t="n">
        <f aca="false">IF((C12+C19)=0,0,C17/(C12+C19))</f>
        <v>0.258784509130823</v>
      </c>
    </row>
    <row r="22" customFormat="false" ht="15" hidden="false" customHeight="false" outlineLevel="0" collapsed="false">
      <c r="B22" s="8" t="s">
        <v>128</v>
      </c>
      <c r="C22" s="8"/>
      <c r="D22" s="8"/>
      <c r="E22" s="8"/>
      <c r="F22" s="8"/>
      <c r="G22" s="8"/>
    </row>
    <row r="23" customFormat="false" ht="15" hidden="false" customHeight="false" outlineLevel="0" collapsed="false">
      <c r="B23" s="54" t="s">
        <v>129</v>
      </c>
      <c r="C23" s="55" t="n">
        <v>0</v>
      </c>
      <c r="D23" s="55" t="n">
        <v>0.05</v>
      </c>
      <c r="E23" s="55" t="n">
        <v>0.1</v>
      </c>
      <c r="F23" s="55" t="n">
        <v>0.2</v>
      </c>
    </row>
    <row r="24" customFormat="false" ht="15" hidden="false" customHeight="false" outlineLevel="0" collapsed="false">
      <c r="B24" s="56" t="n">
        <v>0.1</v>
      </c>
      <c r="C24" s="57" t="n">
        <f aca="false">SUMPRODUCT(('Sales Data'!$K$2:$K$161&gt;$B24+0.0001)*(('Sales Data'!$J$2:$J$161*(1-$B24)-'Sales Data'!$M$2:$M$161)*(1-C$23)-'Sales Data'!$N$2:$N$161))</f>
        <v>0</v>
      </c>
      <c r="D24" s="57" t="n">
        <f aca="false">SUMPRODUCT(('Sales Data'!$K$2:$K$161&gt;$B24+0.0001)*(('Sales Data'!$J$2:$J$161*(1-$B24)-'Sales Data'!$M$2:$M$161)*(1-D$23)-'Sales Data'!$N$2:$N$161))</f>
        <v>0</v>
      </c>
      <c r="E24" s="57" t="n">
        <f aca="false">SUMPRODUCT(('Sales Data'!$K$2:$K$161&gt;$B24+0.0001)*(('Sales Data'!$J$2:$J$161*(1-$B24)-'Sales Data'!$M$2:$M$161)*(1-E$23)-'Sales Data'!$N$2:$N$161))</f>
        <v>0</v>
      </c>
      <c r="F24" s="57" t="n">
        <f aca="false">SUMPRODUCT(('Sales Data'!$K$2:$K$161&gt;$B24+0.0001)*(('Sales Data'!$J$2:$J$161*(1-$B24)-'Sales Data'!$M$2:$M$161)*(1-F$23)-'Sales Data'!$N$2:$N$161))</f>
        <v>0</v>
      </c>
    </row>
    <row r="25" customFormat="false" ht="15" hidden="false" customHeight="false" outlineLevel="0" collapsed="false">
      <c r="B25" s="56" t="n">
        <v>0.08</v>
      </c>
      <c r="C25" s="57" t="n">
        <f aca="false">SUMPRODUCT(('Sales Data'!$K$2:$K$161&gt;$B25+0.0001)*(('Sales Data'!$J$2:$J$161*(1-$B25)-'Sales Data'!$M$2:$M$161)*(1-C$23)-'Sales Data'!$N$2:$N$161))</f>
        <v>496722</v>
      </c>
      <c r="D25" s="57" t="n">
        <f aca="false">SUMPRODUCT(('Sales Data'!$K$2:$K$161&gt;$B25+0.0001)*(('Sales Data'!$J$2:$J$161*(1-$B25)-'Sales Data'!$M$2:$M$161)*(1-D$23)-'Sales Data'!$N$2:$N$161))</f>
        <v>190671.18</v>
      </c>
      <c r="E25" s="57" t="n">
        <f aca="false">SUMPRODUCT(('Sales Data'!$K$2:$K$161&gt;$B25+0.0001)*(('Sales Data'!$J$2:$J$161*(1-$B25)-'Sales Data'!$M$2:$M$161)*(1-E$23)-'Sales Data'!$N$2:$N$161))</f>
        <v>-115379.64</v>
      </c>
      <c r="F25" s="57" t="n">
        <f aca="false">SUMPRODUCT(('Sales Data'!$K$2:$K$161&gt;$B25+0.0001)*(('Sales Data'!$J$2:$J$161*(1-$B25)-'Sales Data'!$M$2:$M$161)*(1-F$23)-'Sales Data'!$N$2:$N$161))</f>
        <v>-727481.28</v>
      </c>
    </row>
    <row r="26" customFormat="false" ht="15" hidden="false" customHeight="false" outlineLevel="0" collapsed="false">
      <c r="B26" s="56" t="n">
        <v>0.05</v>
      </c>
      <c r="C26" s="57" t="n">
        <f aca="false">SUMPRODUCT(('Sales Data'!$K$2:$K$161&gt;$B26+0.0001)*(('Sales Data'!$J$2:$J$161*(1-$B26)-'Sales Data'!$M$2:$M$161)*(1-C$23)-'Sales Data'!$N$2:$N$161))</f>
        <v>2301930</v>
      </c>
      <c r="D26" s="57" t="n">
        <f aca="false">SUMPRODUCT(('Sales Data'!$K$2:$K$161&gt;$B26+0.0001)*(('Sales Data'!$J$2:$J$161*(1-$B26)-'Sales Data'!$M$2:$M$161)*(1-D$23)-'Sales Data'!$N$2:$N$161))</f>
        <v>1518465.484</v>
      </c>
      <c r="E26" s="57" t="n">
        <f aca="false">SUMPRODUCT(('Sales Data'!$K$2:$K$161&gt;$B26+0.0001)*(('Sales Data'!$J$2:$J$161*(1-$B26)-'Sales Data'!$M$2:$M$161)*(1-E$23)-'Sales Data'!$N$2:$N$161))</f>
        <v>735000.968</v>
      </c>
      <c r="F26" s="57" t="n">
        <f aca="false">SUMPRODUCT(('Sales Data'!$K$2:$K$161&gt;$B26+0.0001)*(('Sales Data'!$J$2:$J$161*(1-$B26)-'Sales Data'!$M$2:$M$161)*(1-F$23)-'Sales Data'!$N$2:$N$161))</f>
        <v>-831928.063999999</v>
      </c>
    </row>
    <row r="27" customFormat="false" ht="15" hidden="false" customHeight="false" outlineLevel="0" collapsed="false">
      <c r="B27" s="56" t="n">
        <v>0.03</v>
      </c>
      <c r="C27" s="57" t="n">
        <f aca="false">SUMPRODUCT(('Sales Data'!$K$2:$K$161&gt;$B27+0.0001)*(('Sales Data'!$J$2:$J$161*(1-$B27)-'Sales Data'!$M$2:$M$161)*(1-C$23)-'Sales Data'!$N$2:$N$161))</f>
        <v>4132656</v>
      </c>
      <c r="D27" s="57" t="n">
        <f aca="false">SUMPRODUCT(('Sales Data'!$K$2:$K$161&gt;$B27+0.0001)*(('Sales Data'!$J$2:$J$161*(1-$B27)-'Sales Data'!$M$2:$M$161)*(1-D$23)-'Sales Data'!$N$2:$N$161))</f>
        <v>2884102.834</v>
      </c>
      <c r="E27" s="57" t="n">
        <f aca="false">SUMPRODUCT(('Sales Data'!$K$2:$K$161&gt;$B27+0.0001)*(('Sales Data'!$J$2:$J$161*(1-$B27)-'Sales Data'!$M$2:$M$161)*(1-E$23)-'Sales Data'!$N$2:$N$161))</f>
        <v>1635549.668</v>
      </c>
      <c r="F27" s="57" t="n">
        <f aca="false">SUMPRODUCT(('Sales Data'!$K$2:$K$161&gt;$B27+0.0001)*(('Sales Data'!$J$2:$J$161*(1-$B27)-'Sales Data'!$M$2:$M$161)*(1-F$23)-'Sales Data'!$N$2:$N$161))</f>
        <v>-861556.663999999</v>
      </c>
    </row>
    <row r="28" customFormat="false" ht="15" hidden="false" customHeight="false" outlineLevel="0" collapsed="false">
      <c r="B28" s="56" t="n">
        <v>0</v>
      </c>
      <c r="C28" s="57" t="n">
        <f aca="false">SUMPRODUCT(('Sales Data'!$K$2:$K$161&gt;$B28+0.0001)*(('Sales Data'!$J$2:$J$161*(1-$B28)-'Sales Data'!$M$2:$M$161)*(1-C$23)-'Sales Data'!$N$2:$N$161))</f>
        <v>7600689</v>
      </c>
      <c r="D28" s="57" t="n">
        <f aca="false">SUMPRODUCT(('Sales Data'!$K$2:$K$161&gt;$B28+0.0001)*(('Sales Data'!$J$2:$J$161*(1-$B28)-'Sales Data'!$M$2:$M$161)*(1-D$23)-'Sales Data'!$N$2:$N$161))</f>
        <v>5894950.984</v>
      </c>
      <c r="E28" s="57" t="n">
        <f aca="false">SUMPRODUCT(('Sales Data'!$K$2:$K$161&gt;$B28+0.0001)*(('Sales Data'!$J$2:$J$161*(1-$B28)-'Sales Data'!$M$2:$M$161)*(1-E$23)-'Sales Data'!$N$2:$N$161))</f>
        <v>4189212.968</v>
      </c>
      <c r="F28" s="57" t="n">
        <f aca="false">SUMPRODUCT(('Sales Data'!$K$2:$K$161&gt;$B28+0.0001)*(('Sales Data'!$J$2:$J$161*(1-$B28)-'Sales Data'!$M$2:$M$161)*(1-F$23)-'Sales Data'!$N$2:$N$161))</f>
        <v>777736.936000002</v>
      </c>
    </row>
    <row r="29" customFormat="false" ht="15" hidden="false" customHeight="false" outlineLevel="0" collapsed="false">
      <c r="B29" s="46" t="s">
        <v>130</v>
      </c>
    </row>
  </sheetData>
  <mergeCells count="4">
    <mergeCell ref="B2:G2"/>
    <mergeCell ref="B4:G4"/>
    <mergeCell ref="B11:G11"/>
    <mergeCell ref="B22:G22"/>
  </mergeCells>
  <conditionalFormatting sqref="C24:F28">
    <cfRule type="colorScale" priority="2">
      <colorScale>
        <cfvo type="min" val="0"/>
        <cfvo type="num" val="0"/>
        <cfvo type="max" val="0"/>
        <color rgb="FFF8B4B4"/>
        <color rgb="FFFFFFFF"/>
        <color rgb="FF86D6A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R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8" min="17" style="0" width="10"/>
  </cols>
  <sheetData>
    <row r="1" customFormat="false" ht="31.5" hidden="false" customHeight="true" outlineLevel="0" collapsed="false">
      <c r="A1" s="27" t="s">
        <v>131</v>
      </c>
      <c r="B1" s="27" t="s">
        <v>132</v>
      </c>
      <c r="C1" s="27" t="s">
        <v>133</v>
      </c>
      <c r="D1" s="27" t="s">
        <v>56</v>
      </c>
      <c r="E1" s="27" t="s">
        <v>93</v>
      </c>
      <c r="F1" s="27" t="s">
        <v>88</v>
      </c>
      <c r="G1" s="27" t="s">
        <v>41</v>
      </c>
      <c r="H1" s="27" t="s">
        <v>134</v>
      </c>
      <c r="I1" s="27" t="s">
        <v>135</v>
      </c>
      <c r="J1" s="27" t="s">
        <v>136</v>
      </c>
      <c r="K1" s="27" t="s">
        <v>137</v>
      </c>
      <c r="L1" s="27" t="s">
        <v>138</v>
      </c>
      <c r="M1" s="27" t="s">
        <v>139</v>
      </c>
      <c r="N1" s="27" t="s">
        <v>140</v>
      </c>
      <c r="O1" s="27" t="s">
        <v>73</v>
      </c>
      <c r="P1" s="27" t="s">
        <v>141</v>
      </c>
      <c r="Q1" s="27" t="s">
        <v>142</v>
      </c>
      <c r="R1" s="27" t="s">
        <v>143</v>
      </c>
    </row>
    <row r="2" customFormat="false" ht="15" hidden="false" customHeight="false" outlineLevel="0" collapsed="false">
      <c r="A2" s="58" t="s">
        <v>144</v>
      </c>
      <c r="B2" s="59" t="n">
        <v>46144</v>
      </c>
      <c r="C2" s="60" t="n">
        <f aca="false">MONTH(B2)</f>
        <v>5</v>
      </c>
      <c r="D2" s="58" t="s">
        <v>66</v>
      </c>
      <c r="E2" s="58" t="s">
        <v>59</v>
      </c>
      <c r="F2" s="58" t="s">
        <v>90</v>
      </c>
      <c r="G2" s="58" t="s">
        <v>43</v>
      </c>
      <c r="H2" s="61" t="n">
        <v>1</v>
      </c>
      <c r="I2" s="62" t="n">
        <v>61900</v>
      </c>
      <c r="J2" s="63" t="n">
        <f aca="false">H2*I2</f>
        <v>61900</v>
      </c>
      <c r="K2" s="64" t="n">
        <v>0.1</v>
      </c>
      <c r="L2" s="63" t="n">
        <f aca="false">J2*(1-K2)</f>
        <v>55710</v>
      </c>
      <c r="M2" s="62" t="n">
        <v>34540.2</v>
      </c>
      <c r="N2" s="63" t="n">
        <f aca="false">L2-M2</f>
        <v>21169.8</v>
      </c>
      <c r="O2" s="65" t="n">
        <f aca="false">IF(L2=0,0,N2/L2)</f>
        <v>0.38</v>
      </c>
      <c r="P2" s="63" t="n">
        <f aca="false">J2-L2</f>
        <v>6190</v>
      </c>
      <c r="Q2" s="66" t="n">
        <v>4.6</v>
      </c>
      <c r="R2" s="67" t="str">
        <f aca="false">IF(L2&gt;='What-If Lab'!$C$8,"Large",IF(L2&gt;='What-If Lab'!$C$9,"Medium","Small"))</f>
        <v>Small</v>
      </c>
    </row>
    <row r="3" customFormat="false" ht="15" hidden="false" customHeight="false" outlineLevel="0" collapsed="false">
      <c r="A3" s="58" t="s">
        <v>145</v>
      </c>
      <c r="B3" s="59" t="n">
        <v>46282</v>
      </c>
      <c r="C3" s="60" t="n">
        <f aca="false">MONTH(B3)</f>
        <v>9</v>
      </c>
      <c r="D3" s="58" t="s">
        <v>60</v>
      </c>
      <c r="E3" s="58" t="s">
        <v>59</v>
      </c>
      <c r="F3" s="58" t="s">
        <v>90</v>
      </c>
      <c r="G3" s="58" t="s">
        <v>43</v>
      </c>
      <c r="H3" s="61" t="n">
        <v>4</v>
      </c>
      <c r="I3" s="62" t="n">
        <v>60500</v>
      </c>
      <c r="J3" s="63" t="n">
        <f aca="false">H3*I3</f>
        <v>242000</v>
      </c>
      <c r="K3" s="64" t="n">
        <v>0.03</v>
      </c>
      <c r="L3" s="63" t="n">
        <f aca="false">J3*(1-K3)</f>
        <v>234740</v>
      </c>
      <c r="M3" s="62" t="n">
        <v>145538.8</v>
      </c>
      <c r="N3" s="63" t="n">
        <f aca="false">L3-M3</f>
        <v>89201.2</v>
      </c>
      <c r="O3" s="65" t="n">
        <f aca="false">IF(L3=0,0,N3/L3)</f>
        <v>0.38</v>
      </c>
      <c r="P3" s="63" t="n">
        <f aca="false">J3-L3</f>
        <v>7260</v>
      </c>
      <c r="Q3" s="66" t="n">
        <v>4.7</v>
      </c>
      <c r="R3" s="67" t="str">
        <f aca="false">IF(L3&gt;='What-If Lab'!$C$8,"Large",IF(L3&gt;='What-If Lab'!$C$9,"Medium","Small"))</f>
        <v>Small</v>
      </c>
    </row>
    <row r="4" customFormat="false" ht="15" hidden="false" customHeight="false" outlineLevel="0" collapsed="false">
      <c r="A4" s="58" t="s">
        <v>146</v>
      </c>
      <c r="B4" s="59" t="n">
        <v>46138</v>
      </c>
      <c r="C4" s="60" t="n">
        <f aca="false">MONTH(B4)</f>
        <v>4</v>
      </c>
      <c r="D4" s="58" t="s">
        <v>62</v>
      </c>
      <c r="E4" s="58" t="s">
        <v>59</v>
      </c>
      <c r="F4" s="58" t="s">
        <v>90</v>
      </c>
      <c r="G4" s="58" t="s">
        <v>45</v>
      </c>
      <c r="H4" s="61" t="n">
        <v>3</v>
      </c>
      <c r="I4" s="62" t="n">
        <v>518000</v>
      </c>
      <c r="J4" s="63" t="n">
        <f aca="false">H4*I4</f>
        <v>1554000</v>
      </c>
      <c r="K4" s="64" t="n">
        <v>0.03</v>
      </c>
      <c r="L4" s="63" t="n">
        <f aca="false">J4*(1-K4)</f>
        <v>1507380</v>
      </c>
      <c r="M4" s="62" t="n">
        <v>1145608.8</v>
      </c>
      <c r="N4" s="63" t="n">
        <f aca="false">L4-M4</f>
        <v>361771.2</v>
      </c>
      <c r="O4" s="65" t="n">
        <f aca="false">IF(L4=0,0,N4/L4)</f>
        <v>0.24</v>
      </c>
      <c r="P4" s="63" t="n">
        <f aca="false">J4-L4</f>
        <v>46620</v>
      </c>
      <c r="Q4" s="66" t="n">
        <v>4.2</v>
      </c>
      <c r="R4" s="67" t="str">
        <f aca="false">IF(L4&gt;='What-If Lab'!$C$8,"Large",IF(L4&gt;='What-If Lab'!$C$9,"Medium","Small"))</f>
        <v>Large</v>
      </c>
    </row>
    <row r="5" customFormat="false" ht="15" hidden="false" customHeight="false" outlineLevel="0" collapsed="false">
      <c r="A5" s="58" t="s">
        <v>147</v>
      </c>
      <c r="B5" s="59" t="n">
        <v>46191</v>
      </c>
      <c r="C5" s="60" t="n">
        <f aca="false">MONTH(B5)</f>
        <v>6</v>
      </c>
      <c r="D5" s="58" t="s">
        <v>64</v>
      </c>
      <c r="E5" s="58" t="s">
        <v>65</v>
      </c>
      <c r="F5" s="58" t="s">
        <v>92</v>
      </c>
      <c r="G5" s="58" t="s">
        <v>51</v>
      </c>
      <c r="H5" s="61" t="n">
        <v>5</v>
      </c>
      <c r="I5" s="62" t="n">
        <v>191900</v>
      </c>
      <c r="J5" s="63" t="n">
        <f aca="false">H5*I5</f>
        <v>959500</v>
      </c>
      <c r="K5" s="64" t="n">
        <v>0.03</v>
      </c>
      <c r="L5" s="63" t="n">
        <f aca="false">J5*(1-K5)</f>
        <v>930715</v>
      </c>
      <c r="M5" s="62" t="n">
        <v>688729.1</v>
      </c>
      <c r="N5" s="63" t="n">
        <f aca="false">L5-M5</f>
        <v>241985.9</v>
      </c>
      <c r="O5" s="65" t="n">
        <f aca="false">IF(L5=0,0,N5/L5)</f>
        <v>0.26</v>
      </c>
      <c r="P5" s="63" t="n">
        <f aca="false">J5-L5</f>
        <v>28785</v>
      </c>
      <c r="Q5" s="66" t="n">
        <v>4.3</v>
      </c>
      <c r="R5" s="67" t="str">
        <f aca="false">IF(L5&gt;='What-If Lab'!$C$8,"Large",IF(L5&gt;='What-If Lab'!$C$9,"Medium","Small"))</f>
        <v>Medium</v>
      </c>
    </row>
    <row r="6" customFormat="false" ht="15" hidden="false" customHeight="false" outlineLevel="0" collapsed="false">
      <c r="A6" s="58" t="s">
        <v>148</v>
      </c>
      <c r="B6" s="59" t="n">
        <v>46250</v>
      </c>
      <c r="C6" s="60" t="n">
        <f aca="false">MONTH(B6)</f>
        <v>8</v>
      </c>
      <c r="D6" s="58" t="s">
        <v>58</v>
      </c>
      <c r="E6" s="58" t="s">
        <v>59</v>
      </c>
      <c r="F6" s="58" t="s">
        <v>91</v>
      </c>
      <c r="G6" s="58" t="s">
        <v>45</v>
      </c>
      <c r="H6" s="61" t="n">
        <v>5</v>
      </c>
      <c r="I6" s="62" t="n">
        <v>559100</v>
      </c>
      <c r="J6" s="63" t="n">
        <f aca="false">H6*I6</f>
        <v>2795500</v>
      </c>
      <c r="K6" s="64" t="n">
        <v>0.05</v>
      </c>
      <c r="L6" s="63" t="n">
        <f aca="false">J6*(1-K6)</f>
        <v>2655725</v>
      </c>
      <c r="M6" s="62" t="n">
        <v>2018351</v>
      </c>
      <c r="N6" s="63" t="n">
        <f aca="false">L6-M6</f>
        <v>637374</v>
      </c>
      <c r="O6" s="65" t="n">
        <f aca="false">IF(L6=0,0,N6/L6)</f>
        <v>0.24</v>
      </c>
      <c r="P6" s="63" t="n">
        <f aca="false">J6-L6</f>
        <v>139775</v>
      </c>
      <c r="Q6" s="66" t="n">
        <v>3.2</v>
      </c>
      <c r="R6" s="67" t="str">
        <f aca="false">IF(L6&gt;='What-If Lab'!$C$8,"Large",IF(L6&gt;='What-If Lab'!$C$9,"Medium","Small"))</f>
        <v>Large</v>
      </c>
    </row>
    <row r="7" customFormat="false" ht="15" hidden="false" customHeight="false" outlineLevel="0" collapsed="false">
      <c r="A7" s="58" t="s">
        <v>149</v>
      </c>
      <c r="B7" s="59" t="n">
        <v>46294</v>
      </c>
      <c r="C7" s="60" t="n">
        <f aca="false">MONTH(B7)</f>
        <v>9</v>
      </c>
      <c r="D7" s="58" t="s">
        <v>58</v>
      </c>
      <c r="E7" s="58" t="s">
        <v>63</v>
      </c>
      <c r="F7" s="58" t="s">
        <v>91</v>
      </c>
      <c r="G7" s="58" t="s">
        <v>43</v>
      </c>
      <c r="H7" s="61" t="n">
        <v>4</v>
      </c>
      <c r="I7" s="62" t="n">
        <v>67300</v>
      </c>
      <c r="J7" s="63" t="n">
        <f aca="false">H7*I7</f>
        <v>269200</v>
      </c>
      <c r="K7" s="64" t="n">
        <v>0.1</v>
      </c>
      <c r="L7" s="63" t="n">
        <f aca="false">J7*(1-K7)</f>
        <v>242280</v>
      </c>
      <c r="M7" s="62" t="n">
        <v>150213.6</v>
      </c>
      <c r="N7" s="63" t="n">
        <f aca="false">L7-M7</f>
        <v>92066.4</v>
      </c>
      <c r="O7" s="65" t="n">
        <f aca="false">IF(L7=0,0,N7/L7)</f>
        <v>0.38</v>
      </c>
      <c r="P7" s="63" t="n">
        <f aca="false">J7-L7</f>
        <v>26920</v>
      </c>
      <c r="Q7" s="66" t="n">
        <v>3.2</v>
      </c>
      <c r="R7" s="67" t="str">
        <f aca="false">IF(L7&gt;='What-If Lab'!$C$8,"Large",IF(L7&gt;='What-If Lab'!$C$9,"Medium","Small"))</f>
        <v>Small</v>
      </c>
    </row>
    <row r="8" customFormat="false" ht="15" hidden="false" customHeight="false" outlineLevel="0" collapsed="false">
      <c r="A8" s="58" t="s">
        <v>150</v>
      </c>
      <c r="B8" s="59" t="n">
        <v>46049</v>
      </c>
      <c r="C8" s="60" t="n">
        <f aca="false">MONTH(B8)</f>
        <v>1</v>
      </c>
      <c r="D8" s="58" t="s">
        <v>64</v>
      </c>
      <c r="E8" s="58" t="s">
        <v>59</v>
      </c>
      <c r="F8" s="58" t="s">
        <v>91</v>
      </c>
      <c r="G8" s="58" t="s">
        <v>47</v>
      </c>
      <c r="H8" s="61" t="n">
        <v>4</v>
      </c>
      <c r="I8" s="62" t="n">
        <v>166900</v>
      </c>
      <c r="J8" s="63" t="n">
        <f aca="false">H8*I8</f>
        <v>667600</v>
      </c>
      <c r="K8" s="64" t="n">
        <v>0</v>
      </c>
      <c r="L8" s="63" t="n">
        <f aca="false">J8*(1-K8)</f>
        <v>667600</v>
      </c>
      <c r="M8" s="62" t="n">
        <v>467320</v>
      </c>
      <c r="N8" s="63" t="n">
        <f aca="false">L8-M8</f>
        <v>200280</v>
      </c>
      <c r="O8" s="65" t="n">
        <f aca="false">IF(L8=0,0,N8/L8)</f>
        <v>0.3</v>
      </c>
      <c r="P8" s="63" t="n">
        <f aca="false">J8-L8</f>
        <v>0</v>
      </c>
      <c r="Q8" s="66" t="n">
        <v>3.9</v>
      </c>
      <c r="R8" s="67" t="str">
        <f aca="false">IF(L8&gt;='What-If Lab'!$C$8,"Large",IF(L8&gt;='What-If Lab'!$C$9,"Medium","Small"))</f>
        <v>Medium</v>
      </c>
    </row>
    <row r="9" customFormat="false" ht="15" hidden="false" customHeight="false" outlineLevel="0" collapsed="false">
      <c r="A9" s="58" t="s">
        <v>151</v>
      </c>
      <c r="B9" s="59" t="n">
        <v>46051</v>
      </c>
      <c r="C9" s="60" t="n">
        <f aca="false">MONTH(B9)</f>
        <v>1</v>
      </c>
      <c r="D9" s="58" t="s">
        <v>66</v>
      </c>
      <c r="E9" s="58" t="s">
        <v>65</v>
      </c>
      <c r="F9" s="58" t="s">
        <v>90</v>
      </c>
      <c r="G9" s="58" t="s">
        <v>49</v>
      </c>
      <c r="H9" s="61" t="n">
        <v>5</v>
      </c>
      <c r="I9" s="62" t="n">
        <v>329500</v>
      </c>
      <c r="J9" s="63" t="n">
        <f aca="false">H9*I9</f>
        <v>1647500</v>
      </c>
      <c r="K9" s="64" t="n">
        <v>0.08</v>
      </c>
      <c r="L9" s="63" t="n">
        <f aca="false">J9*(1-K9)</f>
        <v>1515700</v>
      </c>
      <c r="M9" s="62" t="n">
        <v>1182246</v>
      </c>
      <c r="N9" s="63" t="n">
        <f aca="false">L9-M9</f>
        <v>333454</v>
      </c>
      <c r="O9" s="65" t="n">
        <f aca="false">IF(L9=0,0,N9/L9)</f>
        <v>0.22</v>
      </c>
      <c r="P9" s="63" t="n">
        <f aca="false">J9-L9</f>
        <v>131800</v>
      </c>
      <c r="Q9" s="66" t="n">
        <v>4.1</v>
      </c>
      <c r="R9" s="67" t="str">
        <f aca="false">IF(L9&gt;='What-If Lab'!$C$8,"Large",IF(L9&gt;='What-If Lab'!$C$9,"Medium","Small"))</f>
        <v>Large</v>
      </c>
    </row>
    <row r="10" customFormat="false" ht="15" hidden="false" customHeight="false" outlineLevel="0" collapsed="false">
      <c r="A10" s="58" t="s">
        <v>152</v>
      </c>
      <c r="B10" s="59" t="n">
        <v>46203</v>
      </c>
      <c r="C10" s="60" t="n">
        <f aca="false">MONTH(B10)</f>
        <v>6</v>
      </c>
      <c r="D10" s="58" t="s">
        <v>62</v>
      </c>
      <c r="E10" s="58" t="s">
        <v>65</v>
      </c>
      <c r="F10" s="58" t="s">
        <v>91</v>
      </c>
      <c r="G10" s="58" t="s">
        <v>45</v>
      </c>
      <c r="H10" s="61" t="n">
        <v>5</v>
      </c>
      <c r="I10" s="62" t="n">
        <v>476600</v>
      </c>
      <c r="J10" s="63" t="n">
        <f aca="false">H10*I10</f>
        <v>2383000</v>
      </c>
      <c r="K10" s="64" t="n">
        <v>0.08</v>
      </c>
      <c r="L10" s="63" t="n">
        <f aca="false">J10*(1-K10)</f>
        <v>2192360</v>
      </c>
      <c r="M10" s="62" t="n">
        <v>1666193.6</v>
      </c>
      <c r="N10" s="63" t="n">
        <f aca="false">L10-M10</f>
        <v>526166.4</v>
      </c>
      <c r="O10" s="65" t="n">
        <f aca="false">IF(L10=0,0,N10/L10)</f>
        <v>0.24</v>
      </c>
      <c r="P10" s="63" t="n">
        <f aca="false">J10-L10</f>
        <v>190640</v>
      </c>
      <c r="Q10" s="66" t="n">
        <v>4.9</v>
      </c>
      <c r="R10" s="67" t="str">
        <f aca="false">IF(L10&gt;='What-If Lab'!$C$8,"Large",IF(L10&gt;='What-If Lab'!$C$9,"Medium","Small"))</f>
        <v>Large</v>
      </c>
    </row>
    <row r="11" customFormat="false" ht="15" hidden="false" customHeight="false" outlineLevel="0" collapsed="false">
      <c r="A11" s="58" t="s">
        <v>153</v>
      </c>
      <c r="B11" s="59" t="n">
        <v>46068</v>
      </c>
      <c r="C11" s="60" t="n">
        <f aca="false">MONTH(B11)</f>
        <v>2</v>
      </c>
      <c r="D11" s="58" t="s">
        <v>60</v>
      </c>
      <c r="E11" s="58" t="s">
        <v>59</v>
      </c>
      <c r="F11" s="58" t="s">
        <v>91</v>
      </c>
      <c r="G11" s="58" t="s">
        <v>45</v>
      </c>
      <c r="H11" s="61" t="n">
        <v>1</v>
      </c>
      <c r="I11" s="62" t="n">
        <v>533600</v>
      </c>
      <c r="J11" s="63" t="n">
        <f aca="false">H11*I11</f>
        <v>533600</v>
      </c>
      <c r="K11" s="64" t="n">
        <v>0.03</v>
      </c>
      <c r="L11" s="63" t="n">
        <f aca="false">J11*(1-K11)</f>
        <v>517592</v>
      </c>
      <c r="M11" s="62" t="n">
        <v>393369.92</v>
      </c>
      <c r="N11" s="63" t="n">
        <f aca="false">L11-M11</f>
        <v>124222.08</v>
      </c>
      <c r="O11" s="65" t="n">
        <f aca="false">IF(L11=0,0,N11/L11)</f>
        <v>0.24</v>
      </c>
      <c r="P11" s="63" t="n">
        <f aca="false">J11-L11</f>
        <v>16008</v>
      </c>
      <c r="Q11" s="66" t="n">
        <v>3.7</v>
      </c>
      <c r="R11" s="67" t="str">
        <f aca="false">IF(L11&gt;='What-If Lab'!$C$8,"Large",IF(L11&gt;='What-If Lab'!$C$9,"Medium","Small"))</f>
        <v>Medium</v>
      </c>
    </row>
    <row r="12" customFormat="false" ht="15" hidden="false" customHeight="false" outlineLevel="0" collapsed="false">
      <c r="A12" s="58" t="s">
        <v>154</v>
      </c>
      <c r="B12" s="59" t="n">
        <v>46067</v>
      </c>
      <c r="C12" s="60" t="n">
        <f aca="false">MONTH(B12)</f>
        <v>2</v>
      </c>
      <c r="D12" s="58" t="s">
        <v>62</v>
      </c>
      <c r="E12" s="58" t="s">
        <v>59</v>
      </c>
      <c r="F12" s="58" t="s">
        <v>90</v>
      </c>
      <c r="G12" s="58" t="s">
        <v>49</v>
      </c>
      <c r="H12" s="61" t="n">
        <v>2</v>
      </c>
      <c r="I12" s="62" t="n">
        <v>292400</v>
      </c>
      <c r="J12" s="63" t="n">
        <f aca="false">H12*I12</f>
        <v>584800</v>
      </c>
      <c r="K12" s="64" t="n">
        <v>0.03</v>
      </c>
      <c r="L12" s="63" t="n">
        <f aca="false">J12*(1-K12)</f>
        <v>567256</v>
      </c>
      <c r="M12" s="62" t="n">
        <v>442459.68</v>
      </c>
      <c r="N12" s="63" t="n">
        <f aca="false">L12-M12</f>
        <v>124796.32</v>
      </c>
      <c r="O12" s="65" t="n">
        <f aca="false">IF(L12=0,0,N12/L12)</f>
        <v>0.22</v>
      </c>
      <c r="P12" s="63" t="n">
        <f aca="false">J12-L12</f>
        <v>17544</v>
      </c>
      <c r="Q12" s="66" t="n">
        <v>4.3</v>
      </c>
      <c r="R12" s="67" t="str">
        <f aca="false">IF(L12&gt;='What-If Lab'!$C$8,"Large",IF(L12&gt;='What-If Lab'!$C$9,"Medium","Small"))</f>
        <v>Medium</v>
      </c>
    </row>
    <row r="13" customFormat="false" ht="15" hidden="false" customHeight="false" outlineLevel="0" collapsed="false">
      <c r="A13" s="58" t="s">
        <v>155</v>
      </c>
      <c r="B13" s="59" t="n">
        <v>46236</v>
      </c>
      <c r="C13" s="60" t="n">
        <f aca="false">MONTH(B13)</f>
        <v>8</v>
      </c>
      <c r="D13" s="58" t="s">
        <v>58</v>
      </c>
      <c r="E13" s="58" t="s">
        <v>61</v>
      </c>
      <c r="F13" s="58" t="s">
        <v>90</v>
      </c>
      <c r="G13" s="58" t="s">
        <v>51</v>
      </c>
      <c r="H13" s="61" t="n">
        <v>4</v>
      </c>
      <c r="I13" s="62" t="n">
        <v>225500</v>
      </c>
      <c r="J13" s="63" t="n">
        <f aca="false">H13*I13</f>
        <v>902000</v>
      </c>
      <c r="K13" s="64" t="n">
        <v>0.1</v>
      </c>
      <c r="L13" s="63" t="n">
        <f aca="false">J13*(1-K13)</f>
        <v>811800</v>
      </c>
      <c r="M13" s="62" t="n">
        <v>600732</v>
      </c>
      <c r="N13" s="63" t="n">
        <f aca="false">L13-M13</f>
        <v>211068</v>
      </c>
      <c r="O13" s="65" t="n">
        <f aca="false">IF(L13=0,0,N13/L13)</f>
        <v>0.26</v>
      </c>
      <c r="P13" s="63" t="n">
        <f aca="false">J13-L13</f>
        <v>90200</v>
      </c>
      <c r="Q13" s="66" t="n">
        <v>4.4</v>
      </c>
      <c r="R13" s="67" t="str">
        <f aca="false">IF(L13&gt;='What-If Lab'!$C$8,"Large",IF(L13&gt;='What-If Lab'!$C$9,"Medium","Small"))</f>
        <v>Medium</v>
      </c>
    </row>
    <row r="14" customFormat="false" ht="15" hidden="false" customHeight="false" outlineLevel="0" collapsed="false">
      <c r="A14" s="58" t="s">
        <v>156</v>
      </c>
      <c r="B14" s="59" t="n">
        <v>46164</v>
      </c>
      <c r="C14" s="60" t="n">
        <f aca="false">MONTH(B14)</f>
        <v>5</v>
      </c>
      <c r="D14" s="58" t="s">
        <v>62</v>
      </c>
      <c r="E14" s="58" t="s">
        <v>63</v>
      </c>
      <c r="F14" s="58" t="s">
        <v>91</v>
      </c>
      <c r="G14" s="58" t="s">
        <v>43</v>
      </c>
      <c r="H14" s="61" t="n">
        <v>4</v>
      </c>
      <c r="I14" s="62" t="n">
        <v>65800</v>
      </c>
      <c r="J14" s="63" t="n">
        <f aca="false">H14*I14</f>
        <v>263200</v>
      </c>
      <c r="K14" s="64" t="n">
        <v>0.05</v>
      </c>
      <c r="L14" s="63" t="n">
        <f aca="false">J14*(1-K14)</f>
        <v>250040</v>
      </c>
      <c r="M14" s="62" t="n">
        <v>155024.8</v>
      </c>
      <c r="N14" s="63" t="n">
        <f aca="false">L14-M14</f>
        <v>95015.2</v>
      </c>
      <c r="O14" s="65" t="n">
        <f aca="false">IF(L14=0,0,N14/L14)</f>
        <v>0.38</v>
      </c>
      <c r="P14" s="63" t="n">
        <f aca="false">J14-L14</f>
        <v>13160</v>
      </c>
      <c r="Q14" s="66" t="n">
        <v>3.8</v>
      </c>
      <c r="R14" s="67" t="str">
        <f aca="false">IF(L14&gt;='What-If Lab'!$C$8,"Large",IF(L14&gt;='What-If Lab'!$C$9,"Medium","Small"))</f>
        <v>Small</v>
      </c>
    </row>
    <row r="15" customFormat="false" ht="15" hidden="false" customHeight="false" outlineLevel="0" collapsed="false">
      <c r="A15" s="58" t="s">
        <v>157</v>
      </c>
      <c r="B15" s="59" t="n">
        <v>46284</v>
      </c>
      <c r="C15" s="60" t="n">
        <f aca="false">MONTH(B15)</f>
        <v>9</v>
      </c>
      <c r="D15" s="58" t="s">
        <v>58</v>
      </c>
      <c r="E15" s="58" t="s">
        <v>63</v>
      </c>
      <c r="F15" s="58" t="s">
        <v>90</v>
      </c>
      <c r="G15" s="58" t="s">
        <v>45</v>
      </c>
      <c r="H15" s="61" t="n">
        <v>2</v>
      </c>
      <c r="I15" s="62" t="n">
        <v>468800</v>
      </c>
      <c r="J15" s="63" t="n">
        <f aca="false">H15*I15</f>
        <v>937600</v>
      </c>
      <c r="K15" s="64" t="n">
        <v>0</v>
      </c>
      <c r="L15" s="63" t="n">
        <f aca="false">J15*(1-K15)</f>
        <v>937600</v>
      </c>
      <c r="M15" s="62" t="n">
        <v>712576</v>
      </c>
      <c r="N15" s="63" t="n">
        <f aca="false">L15-M15</f>
        <v>225024</v>
      </c>
      <c r="O15" s="65" t="n">
        <f aca="false">IF(L15=0,0,N15/L15)</f>
        <v>0.24</v>
      </c>
      <c r="P15" s="63" t="n">
        <f aca="false">J15-L15</f>
        <v>0</v>
      </c>
      <c r="Q15" s="66" t="n">
        <v>5</v>
      </c>
      <c r="R15" s="67" t="str">
        <f aca="false">IF(L15&gt;='What-If Lab'!$C$8,"Large",IF(L15&gt;='What-If Lab'!$C$9,"Medium","Small"))</f>
        <v>Medium</v>
      </c>
    </row>
    <row r="16" customFormat="false" ht="15" hidden="false" customHeight="false" outlineLevel="0" collapsed="false">
      <c r="A16" s="58" t="s">
        <v>158</v>
      </c>
      <c r="B16" s="59" t="n">
        <v>46295</v>
      </c>
      <c r="C16" s="60" t="n">
        <f aca="false">MONTH(B16)</f>
        <v>9</v>
      </c>
      <c r="D16" s="58" t="s">
        <v>64</v>
      </c>
      <c r="E16" s="58" t="s">
        <v>65</v>
      </c>
      <c r="F16" s="58" t="s">
        <v>91</v>
      </c>
      <c r="G16" s="58" t="s">
        <v>45</v>
      </c>
      <c r="H16" s="61" t="n">
        <v>4</v>
      </c>
      <c r="I16" s="62" t="n">
        <v>494600</v>
      </c>
      <c r="J16" s="63" t="n">
        <f aca="false">H16*I16</f>
        <v>1978400</v>
      </c>
      <c r="K16" s="64" t="n">
        <v>0.08</v>
      </c>
      <c r="L16" s="63" t="n">
        <f aca="false">J16*(1-K16)</f>
        <v>1820128</v>
      </c>
      <c r="M16" s="62" t="n">
        <v>1383297.28</v>
      </c>
      <c r="N16" s="63" t="n">
        <f aca="false">L16-M16</f>
        <v>436830.72</v>
      </c>
      <c r="O16" s="65" t="n">
        <f aca="false">IF(L16=0,0,N16/L16)</f>
        <v>0.24</v>
      </c>
      <c r="P16" s="63" t="n">
        <f aca="false">J16-L16</f>
        <v>158272</v>
      </c>
      <c r="Q16" s="66" t="n">
        <v>3.8</v>
      </c>
      <c r="R16" s="67" t="str">
        <f aca="false">IF(L16&gt;='What-If Lab'!$C$8,"Large",IF(L16&gt;='What-If Lab'!$C$9,"Medium","Small"))</f>
        <v>Large</v>
      </c>
    </row>
    <row r="17" customFormat="false" ht="15" hidden="false" customHeight="false" outlineLevel="0" collapsed="false">
      <c r="A17" s="58" t="s">
        <v>159</v>
      </c>
      <c r="B17" s="59" t="n">
        <v>46291</v>
      </c>
      <c r="C17" s="60" t="n">
        <f aca="false">MONTH(B17)</f>
        <v>9</v>
      </c>
      <c r="D17" s="58" t="s">
        <v>64</v>
      </c>
      <c r="E17" s="58" t="s">
        <v>61</v>
      </c>
      <c r="F17" s="58" t="s">
        <v>91</v>
      </c>
      <c r="G17" s="58" t="s">
        <v>43</v>
      </c>
      <c r="H17" s="61" t="n">
        <v>3</v>
      </c>
      <c r="I17" s="62" t="n">
        <v>68600</v>
      </c>
      <c r="J17" s="63" t="n">
        <f aca="false">H17*I17</f>
        <v>205800</v>
      </c>
      <c r="K17" s="64" t="n">
        <v>0</v>
      </c>
      <c r="L17" s="63" t="n">
        <f aca="false">J17*(1-K17)</f>
        <v>205800</v>
      </c>
      <c r="M17" s="62" t="n">
        <v>127596</v>
      </c>
      <c r="N17" s="63" t="n">
        <f aca="false">L17-M17</f>
        <v>78204</v>
      </c>
      <c r="O17" s="65" t="n">
        <f aca="false">IF(L17=0,0,N17/L17)</f>
        <v>0.38</v>
      </c>
      <c r="P17" s="63" t="n">
        <f aca="false">J17-L17</f>
        <v>0</v>
      </c>
      <c r="Q17" s="66" t="n">
        <v>3.2</v>
      </c>
      <c r="R17" s="67" t="str">
        <f aca="false">IF(L17&gt;='What-If Lab'!$C$8,"Large",IF(L17&gt;='What-If Lab'!$C$9,"Medium","Small"))</f>
        <v>Small</v>
      </c>
    </row>
    <row r="18" customFormat="false" ht="15" hidden="false" customHeight="false" outlineLevel="0" collapsed="false">
      <c r="A18" s="58" t="s">
        <v>160</v>
      </c>
      <c r="B18" s="59" t="n">
        <v>46291</v>
      </c>
      <c r="C18" s="60" t="n">
        <f aca="false">MONTH(B18)</f>
        <v>9</v>
      </c>
      <c r="D18" s="58" t="s">
        <v>66</v>
      </c>
      <c r="E18" s="58" t="s">
        <v>59</v>
      </c>
      <c r="F18" s="58" t="s">
        <v>90</v>
      </c>
      <c r="G18" s="58" t="s">
        <v>49</v>
      </c>
      <c r="H18" s="61" t="n">
        <v>3</v>
      </c>
      <c r="I18" s="62" t="n">
        <v>321100</v>
      </c>
      <c r="J18" s="63" t="n">
        <f aca="false">H18*I18</f>
        <v>963300</v>
      </c>
      <c r="K18" s="64" t="n">
        <v>0.08</v>
      </c>
      <c r="L18" s="63" t="n">
        <f aca="false">J18*(1-K18)</f>
        <v>886236</v>
      </c>
      <c r="M18" s="62" t="n">
        <v>691264.08</v>
      </c>
      <c r="N18" s="63" t="n">
        <f aca="false">L18-M18</f>
        <v>194971.92</v>
      </c>
      <c r="O18" s="65" t="n">
        <f aca="false">IF(L18=0,0,N18/L18)</f>
        <v>0.22</v>
      </c>
      <c r="P18" s="63" t="n">
        <f aca="false">J18-L18</f>
        <v>77064</v>
      </c>
      <c r="Q18" s="66" t="n">
        <v>3.6</v>
      </c>
      <c r="R18" s="67" t="str">
        <f aca="false">IF(L18&gt;='What-If Lab'!$C$8,"Large",IF(L18&gt;='What-If Lab'!$C$9,"Medium","Small"))</f>
        <v>Medium</v>
      </c>
    </row>
    <row r="19" customFormat="false" ht="15" hidden="false" customHeight="false" outlineLevel="0" collapsed="false">
      <c r="A19" s="58" t="s">
        <v>161</v>
      </c>
      <c r="B19" s="59" t="n">
        <v>46075</v>
      </c>
      <c r="C19" s="60" t="n">
        <f aca="false">MONTH(B19)</f>
        <v>2</v>
      </c>
      <c r="D19" s="58" t="s">
        <v>66</v>
      </c>
      <c r="E19" s="58" t="s">
        <v>63</v>
      </c>
      <c r="F19" s="58" t="s">
        <v>91</v>
      </c>
      <c r="G19" s="58" t="s">
        <v>51</v>
      </c>
      <c r="H19" s="61" t="n">
        <v>3</v>
      </c>
      <c r="I19" s="62" t="n">
        <v>224000</v>
      </c>
      <c r="J19" s="63" t="n">
        <f aca="false">H19*I19</f>
        <v>672000</v>
      </c>
      <c r="K19" s="64" t="n">
        <v>0.05</v>
      </c>
      <c r="L19" s="63" t="n">
        <f aca="false">J19*(1-K19)</f>
        <v>638400</v>
      </c>
      <c r="M19" s="62" t="n">
        <v>472416</v>
      </c>
      <c r="N19" s="63" t="n">
        <f aca="false">L19-M19</f>
        <v>165984</v>
      </c>
      <c r="O19" s="65" t="n">
        <f aca="false">IF(L19=0,0,N19/L19)</f>
        <v>0.26</v>
      </c>
      <c r="P19" s="63" t="n">
        <f aca="false">J19-L19</f>
        <v>33600</v>
      </c>
      <c r="Q19" s="66" t="n">
        <v>4.5</v>
      </c>
      <c r="R19" s="67" t="str">
        <f aca="false">IF(L19&gt;='What-If Lab'!$C$8,"Large",IF(L19&gt;='What-If Lab'!$C$9,"Medium","Small"))</f>
        <v>Medium</v>
      </c>
    </row>
    <row r="20" customFormat="false" ht="15" hidden="false" customHeight="false" outlineLevel="0" collapsed="false">
      <c r="A20" s="58" t="s">
        <v>162</v>
      </c>
      <c r="B20" s="59" t="n">
        <v>46052</v>
      </c>
      <c r="C20" s="60" t="n">
        <f aca="false">MONTH(B20)</f>
        <v>1</v>
      </c>
      <c r="D20" s="58" t="s">
        <v>64</v>
      </c>
      <c r="E20" s="58" t="s">
        <v>59</v>
      </c>
      <c r="F20" s="58" t="s">
        <v>92</v>
      </c>
      <c r="G20" s="58" t="s">
        <v>47</v>
      </c>
      <c r="H20" s="61" t="n">
        <v>2</v>
      </c>
      <c r="I20" s="62" t="n">
        <v>196800</v>
      </c>
      <c r="J20" s="63" t="n">
        <f aca="false">H20*I20</f>
        <v>393600</v>
      </c>
      <c r="K20" s="64" t="n">
        <v>0.1</v>
      </c>
      <c r="L20" s="63" t="n">
        <f aca="false">J20*(1-K20)</f>
        <v>354240</v>
      </c>
      <c r="M20" s="62" t="n">
        <v>247968</v>
      </c>
      <c r="N20" s="63" t="n">
        <f aca="false">L20-M20</f>
        <v>106272</v>
      </c>
      <c r="O20" s="65" t="n">
        <f aca="false">IF(L20=0,0,N20/L20)</f>
        <v>0.3</v>
      </c>
      <c r="P20" s="63" t="n">
        <f aca="false">J20-L20</f>
        <v>39360</v>
      </c>
      <c r="Q20" s="66" t="n">
        <v>3</v>
      </c>
      <c r="R20" s="67" t="str">
        <f aca="false">IF(L20&gt;='What-If Lab'!$C$8,"Large",IF(L20&gt;='What-If Lab'!$C$9,"Medium","Small"))</f>
        <v>Small</v>
      </c>
    </row>
    <row r="21" customFormat="false" ht="15" hidden="false" customHeight="false" outlineLevel="0" collapsed="false">
      <c r="A21" s="58" t="s">
        <v>163</v>
      </c>
      <c r="B21" s="59" t="n">
        <v>46053</v>
      </c>
      <c r="C21" s="60" t="n">
        <f aca="false">MONTH(B21)</f>
        <v>1</v>
      </c>
      <c r="D21" s="58" t="s">
        <v>60</v>
      </c>
      <c r="E21" s="58" t="s">
        <v>59</v>
      </c>
      <c r="F21" s="58" t="s">
        <v>91</v>
      </c>
      <c r="G21" s="58" t="s">
        <v>45</v>
      </c>
      <c r="H21" s="61" t="n">
        <v>2</v>
      </c>
      <c r="I21" s="62" t="n">
        <v>529100</v>
      </c>
      <c r="J21" s="63" t="n">
        <f aca="false">H21*I21</f>
        <v>1058200</v>
      </c>
      <c r="K21" s="64" t="n">
        <v>0.05</v>
      </c>
      <c r="L21" s="63" t="n">
        <f aca="false">J21*(1-K21)</f>
        <v>1005290</v>
      </c>
      <c r="M21" s="62" t="n">
        <v>764020.4</v>
      </c>
      <c r="N21" s="63" t="n">
        <f aca="false">L21-M21</f>
        <v>241269.6</v>
      </c>
      <c r="O21" s="65" t="n">
        <f aca="false">IF(L21=0,0,N21/L21)</f>
        <v>0.24</v>
      </c>
      <c r="P21" s="63" t="n">
        <f aca="false">J21-L21</f>
        <v>52910</v>
      </c>
      <c r="Q21" s="66" t="n">
        <v>3.9</v>
      </c>
      <c r="R21" s="67" t="str">
        <f aca="false">IF(L21&gt;='What-If Lab'!$C$8,"Large",IF(L21&gt;='What-If Lab'!$C$9,"Medium","Small"))</f>
        <v>Medium</v>
      </c>
    </row>
    <row r="22" customFormat="false" ht="15" hidden="false" customHeight="false" outlineLevel="0" collapsed="false">
      <c r="A22" s="58" t="s">
        <v>164</v>
      </c>
      <c r="B22" s="59" t="n">
        <v>46025</v>
      </c>
      <c r="C22" s="60" t="n">
        <f aca="false">MONTH(B22)</f>
        <v>1</v>
      </c>
      <c r="D22" s="58" t="s">
        <v>60</v>
      </c>
      <c r="E22" s="58" t="s">
        <v>65</v>
      </c>
      <c r="F22" s="58" t="s">
        <v>91</v>
      </c>
      <c r="G22" s="58" t="s">
        <v>49</v>
      </c>
      <c r="H22" s="61" t="n">
        <v>3</v>
      </c>
      <c r="I22" s="62" t="n">
        <v>283400</v>
      </c>
      <c r="J22" s="63" t="n">
        <f aca="false">H22*I22</f>
        <v>850200</v>
      </c>
      <c r="K22" s="64" t="n">
        <v>0.08</v>
      </c>
      <c r="L22" s="63" t="n">
        <f aca="false">J22*(1-K22)</f>
        <v>782184</v>
      </c>
      <c r="M22" s="62" t="n">
        <v>610103.52</v>
      </c>
      <c r="N22" s="63" t="n">
        <f aca="false">L22-M22</f>
        <v>172080.48</v>
      </c>
      <c r="O22" s="65" t="n">
        <f aca="false">IF(L22=0,0,N22/L22)</f>
        <v>0.22</v>
      </c>
      <c r="P22" s="63" t="n">
        <f aca="false">J22-L22</f>
        <v>68016</v>
      </c>
      <c r="Q22" s="66" t="n">
        <v>5</v>
      </c>
      <c r="R22" s="67" t="str">
        <f aca="false">IF(L22&gt;='What-If Lab'!$C$8,"Large",IF(L22&gt;='What-If Lab'!$C$9,"Medium","Small"))</f>
        <v>Medium</v>
      </c>
    </row>
    <row r="23" customFormat="false" ht="15" hidden="false" customHeight="false" outlineLevel="0" collapsed="false">
      <c r="A23" s="58" t="s">
        <v>165</v>
      </c>
      <c r="B23" s="59" t="n">
        <v>46039</v>
      </c>
      <c r="C23" s="60" t="n">
        <f aca="false">MONTH(B23)</f>
        <v>1</v>
      </c>
      <c r="D23" s="58" t="s">
        <v>64</v>
      </c>
      <c r="E23" s="58" t="s">
        <v>63</v>
      </c>
      <c r="F23" s="58" t="s">
        <v>91</v>
      </c>
      <c r="G23" s="58" t="s">
        <v>51</v>
      </c>
      <c r="H23" s="61" t="n">
        <v>1</v>
      </c>
      <c r="I23" s="62" t="n">
        <v>205200</v>
      </c>
      <c r="J23" s="63" t="n">
        <f aca="false">H23*I23</f>
        <v>205200</v>
      </c>
      <c r="K23" s="64" t="n">
        <v>0</v>
      </c>
      <c r="L23" s="63" t="n">
        <f aca="false">J23*(1-K23)</f>
        <v>205200</v>
      </c>
      <c r="M23" s="62" t="n">
        <v>151848</v>
      </c>
      <c r="N23" s="63" t="n">
        <f aca="false">L23-M23</f>
        <v>53352</v>
      </c>
      <c r="O23" s="65" t="n">
        <f aca="false">IF(L23=0,0,N23/L23)</f>
        <v>0.26</v>
      </c>
      <c r="P23" s="63" t="n">
        <f aca="false">J23-L23</f>
        <v>0</v>
      </c>
      <c r="Q23" s="66" t="n">
        <v>4.4</v>
      </c>
      <c r="R23" s="67" t="str">
        <f aca="false">IF(L23&gt;='What-If Lab'!$C$8,"Large",IF(L23&gt;='What-If Lab'!$C$9,"Medium","Small"))</f>
        <v>Small</v>
      </c>
    </row>
    <row r="24" customFormat="false" ht="15" hidden="false" customHeight="false" outlineLevel="0" collapsed="false">
      <c r="A24" s="58" t="s">
        <v>166</v>
      </c>
      <c r="B24" s="59" t="n">
        <v>46112</v>
      </c>
      <c r="C24" s="60" t="n">
        <f aca="false">MONTH(B24)</f>
        <v>3</v>
      </c>
      <c r="D24" s="58" t="s">
        <v>62</v>
      </c>
      <c r="E24" s="58" t="s">
        <v>65</v>
      </c>
      <c r="F24" s="58" t="s">
        <v>90</v>
      </c>
      <c r="G24" s="58" t="s">
        <v>47</v>
      </c>
      <c r="H24" s="61" t="n">
        <v>3</v>
      </c>
      <c r="I24" s="62" t="n">
        <v>193700</v>
      </c>
      <c r="J24" s="63" t="n">
        <f aca="false">H24*I24</f>
        <v>581100</v>
      </c>
      <c r="K24" s="64" t="n">
        <v>0.05</v>
      </c>
      <c r="L24" s="63" t="n">
        <f aca="false">J24*(1-K24)</f>
        <v>552045</v>
      </c>
      <c r="M24" s="62" t="n">
        <v>386431.5</v>
      </c>
      <c r="N24" s="63" t="n">
        <f aca="false">L24-M24</f>
        <v>165613.5</v>
      </c>
      <c r="O24" s="65" t="n">
        <f aca="false">IF(L24=0,0,N24/L24)</f>
        <v>0.3</v>
      </c>
      <c r="P24" s="63" t="n">
        <f aca="false">J24-L24</f>
        <v>29055</v>
      </c>
      <c r="Q24" s="66" t="n">
        <v>3.3</v>
      </c>
      <c r="R24" s="67" t="str">
        <f aca="false">IF(L24&gt;='What-If Lab'!$C$8,"Large",IF(L24&gt;='What-If Lab'!$C$9,"Medium","Small"))</f>
        <v>Medium</v>
      </c>
    </row>
    <row r="25" customFormat="false" ht="15" hidden="false" customHeight="false" outlineLevel="0" collapsed="false">
      <c r="A25" s="58" t="s">
        <v>167</v>
      </c>
      <c r="B25" s="59" t="n">
        <v>46269</v>
      </c>
      <c r="C25" s="60" t="n">
        <f aca="false">MONTH(B25)</f>
        <v>9</v>
      </c>
      <c r="D25" s="58" t="s">
        <v>58</v>
      </c>
      <c r="E25" s="58" t="s">
        <v>59</v>
      </c>
      <c r="F25" s="58" t="s">
        <v>92</v>
      </c>
      <c r="G25" s="58" t="s">
        <v>47</v>
      </c>
      <c r="H25" s="61" t="n">
        <v>5</v>
      </c>
      <c r="I25" s="62" t="n">
        <v>190300</v>
      </c>
      <c r="J25" s="63" t="n">
        <f aca="false">H25*I25</f>
        <v>951500</v>
      </c>
      <c r="K25" s="64" t="n">
        <v>0.03</v>
      </c>
      <c r="L25" s="63" t="n">
        <f aca="false">J25*(1-K25)</f>
        <v>922955</v>
      </c>
      <c r="M25" s="62" t="n">
        <v>646068.5</v>
      </c>
      <c r="N25" s="63" t="n">
        <f aca="false">L25-M25</f>
        <v>276886.5</v>
      </c>
      <c r="O25" s="65" t="n">
        <f aca="false">IF(L25=0,0,N25/L25)</f>
        <v>0.3</v>
      </c>
      <c r="P25" s="63" t="n">
        <f aca="false">J25-L25</f>
        <v>28545</v>
      </c>
      <c r="Q25" s="66" t="n">
        <v>3.9</v>
      </c>
      <c r="R25" s="67" t="str">
        <f aca="false">IF(L25&gt;='What-If Lab'!$C$8,"Large",IF(L25&gt;='What-If Lab'!$C$9,"Medium","Small"))</f>
        <v>Medium</v>
      </c>
    </row>
    <row r="26" customFormat="false" ht="15" hidden="false" customHeight="false" outlineLevel="0" collapsed="false">
      <c r="A26" s="58" t="s">
        <v>168</v>
      </c>
      <c r="B26" s="59" t="n">
        <v>46246</v>
      </c>
      <c r="C26" s="60" t="n">
        <f aca="false">MONTH(B26)</f>
        <v>8</v>
      </c>
      <c r="D26" s="58" t="s">
        <v>64</v>
      </c>
      <c r="E26" s="58" t="s">
        <v>63</v>
      </c>
      <c r="F26" s="58" t="s">
        <v>91</v>
      </c>
      <c r="G26" s="58" t="s">
        <v>49</v>
      </c>
      <c r="H26" s="61" t="n">
        <v>4</v>
      </c>
      <c r="I26" s="62" t="n">
        <v>291800</v>
      </c>
      <c r="J26" s="63" t="n">
        <f aca="false">H26*I26</f>
        <v>1167200</v>
      </c>
      <c r="K26" s="64" t="n">
        <v>0.08</v>
      </c>
      <c r="L26" s="63" t="n">
        <f aca="false">J26*(1-K26)</f>
        <v>1073824</v>
      </c>
      <c r="M26" s="62" t="n">
        <v>837582.72</v>
      </c>
      <c r="N26" s="63" t="n">
        <f aca="false">L26-M26</f>
        <v>236241.28</v>
      </c>
      <c r="O26" s="65" t="n">
        <f aca="false">IF(L26=0,0,N26/L26)</f>
        <v>0.22</v>
      </c>
      <c r="P26" s="63" t="n">
        <f aca="false">J26-L26</f>
        <v>93376</v>
      </c>
      <c r="Q26" s="66" t="n">
        <v>4.6</v>
      </c>
      <c r="R26" s="67" t="str">
        <f aca="false">IF(L26&gt;='What-If Lab'!$C$8,"Large",IF(L26&gt;='What-If Lab'!$C$9,"Medium","Small"))</f>
        <v>Medium</v>
      </c>
    </row>
    <row r="27" customFormat="false" ht="15" hidden="false" customHeight="false" outlineLevel="0" collapsed="false">
      <c r="A27" s="58" t="s">
        <v>169</v>
      </c>
      <c r="B27" s="59" t="n">
        <v>46192</v>
      </c>
      <c r="C27" s="60" t="n">
        <f aca="false">MONTH(B27)</f>
        <v>6</v>
      </c>
      <c r="D27" s="58" t="s">
        <v>60</v>
      </c>
      <c r="E27" s="58" t="s">
        <v>65</v>
      </c>
      <c r="F27" s="58" t="s">
        <v>90</v>
      </c>
      <c r="G27" s="58" t="s">
        <v>45</v>
      </c>
      <c r="H27" s="61" t="n">
        <v>5</v>
      </c>
      <c r="I27" s="62" t="n">
        <v>529400</v>
      </c>
      <c r="J27" s="63" t="n">
        <f aca="false">H27*I27</f>
        <v>2647000</v>
      </c>
      <c r="K27" s="64" t="n">
        <v>0.05</v>
      </c>
      <c r="L27" s="63" t="n">
        <f aca="false">J27*(1-K27)</f>
        <v>2514650</v>
      </c>
      <c r="M27" s="62" t="n">
        <v>1911134</v>
      </c>
      <c r="N27" s="63" t="n">
        <f aca="false">L27-M27</f>
        <v>603516</v>
      </c>
      <c r="O27" s="65" t="n">
        <f aca="false">IF(L27=0,0,N27/L27)</f>
        <v>0.24</v>
      </c>
      <c r="P27" s="63" t="n">
        <f aca="false">J27-L27</f>
        <v>132350</v>
      </c>
      <c r="Q27" s="66" t="n">
        <v>3.9</v>
      </c>
      <c r="R27" s="67" t="str">
        <f aca="false">IF(L27&gt;='What-If Lab'!$C$8,"Large",IF(L27&gt;='What-If Lab'!$C$9,"Medium","Small"))</f>
        <v>Large</v>
      </c>
    </row>
    <row r="28" customFormat="false" ht="15" hidden="false" customHeight="false" outlineLevel="0" collapsed="false">
      <c r="A28" s="58" t="s">
        <v>170</v>
      </c>
      <c r="B28" s="59" t="n">
        <v>46153</v>
      </c>
      <c r="C28" s="60" t="n">
        <f aca="false">MONTH(B28)</f>
        <v>5</v>
      </c>
      <c r="D28" s="58" t="s">
        <v>66</v>
      </c>
      <c r="E28" s="58" t="s">
        <v>61</v>
      </c>
      <c r="F28" s="58" t="s">
        <v>90</v>
      </c>
      <c r="G28" s="58" t="s">
        <v>51</v>
      </c>
      <c r="H28" s="61" t="n">
        <v>3</v>
      </c>
      <c r="I28" s="62" t="n">
        <v>218700</v>
      </c>
      <c r="J28" s="63" t="n">
        <f aca="false">H28*I28</f>
        <v>656100</v>
      </c>
      <c r="K28" s="64" t="n">
        <v>0.03</v>
      </c>
      <c r="L28" s="63" t="n">
        <f aca="false">J28*(1-K28)</f>
        <v>636417</v>
      </c>
      <c r="M28" s="62" t="n">
        <v>470948.58</v>
      </c>
      <c r="N28" s="63" t="n">
        <f aca="false">L28-M28</f>
        <v>165468.42</v>
      </c>
      <c r="O28" s="65" t="n">
        <f aca="false">IF(L28=0,0,N28/L28)</f>
        <v>0.26</v>
      </c>
      <c r="P28" s="63" t="n">
        <f aca="false">J28-L28</f>
        <v>19683</v>
      </c>
      <c r="Q28" s="66" t="n">
        <v>3.9</v>
      </c>
      <c r="R28" s="67" t="str">
        <f aca="false">IF(L28&gt;='What-If Lab'!$C$8,"Large",IF(L28&gt;='What-If Lab'!$C$9,"Medium","Small"))</f>
        <v>Medium</v>
      </c>
    </row>
    <row r="29" customFormat="false" ht="15" hidden="false" customHeight="false" outlineLevel="0" collapsed="false">
      <c r="A29" s="58" t="s">
        <v>171</v>
      </c>
      <c r="B29" s="59" t="n">
        <v>46145</v>
      </c>
      <c r="C29" s="60" t="n">
        <f aca="false">MONTH(B29)</f>
        <v>5</v>
      </c>
      <c r="D29" s="58" t="s">
        <v>64</v>
      </c>
      <c r="E29" s="58" t="s">
        <v>59</v>
      </c>
      <c r="F29" s="58" t="s">
        <v>90</v>
      </c>
      <c r="G29" s="58" t="s">
        <v>49</v>
      </c>
      <c r="H29" s="61" t="n">
        <v>4</v>
      </c>
      <c r="I29" s="62" t="n">
        <v>295300</v>
      </c>
      <c r="J29" s="63" t="n">
        <f aca="false">H29*I29</f>
        <v>1181200</v>
      </c>
      <c r="K29" s="64" t="n">
        <v>0.08</v>
      </c>
      <c r="L29" s="63" t="n">
        <f aca="false">J29*(1-K29)</f>
        <v>1086704</v>
      </c>
      <c r="M29" s="62" t="n">
        <v>847629.12</v>
      </c>
      <c r="N29" s="63" t="n">
        <f aca="false">L29-M29</f>
        <v>239074.88</v>
      </c>
      <c r="O29" s="65" t="n">
        <f aca="false">IF(L29=0,0,N29/L29)</f>
        <v>0.22</v>
      </c>
      <c r="P29" s="63" t="n">
        <f aca="false">J29-L29</f>
        <v>94496</v>
      </c>
      <c r="Q29" s="66" t="n">
        <v>4.4</v>
      </c>
      <c r="R29" s="67" t="str">
        <f aca="false">IF(L29&gt;='What-If Lab'!$C$8,"Large",IF(L29&gt;='What-If Lab'!$C$9,"Medium","Small"))</f>
        <v>Medium</v>
      </c>
    </row>
    <row r="30" customFormat="false" ht="15" hidden="false" customHeight="false" outlineLevel="0" collapsed="false">
      <c r="A30" s="58" t="s">
        <v>172</v>
      </c>
      <c r="B30" s="59" t="n">
        <v>46237</v>
      </c>
      <c r="C30" s="60" t="n">
        <f aca="false">MONTH(B30)</f>
        <v>8</v>
      </c>
      <c r="D30" s="58" t="s">
        <v>58</v>
      </c>
      <c r="E30" s="58" t="s">
        <v>63</v>
      </c>
      <c r="F30" s="58" t="s">
        <v>91</v>
      </c>
      <c r="G30" s="58" t="s">
        <v>49</v>
      </c>
      <c r="H30" s="61" t="n">
        <v>2</v>
      </c>
      <c r="I30" s="62" t="n">
        <v>332800</v>
      </c>
      <c r="J30" s="63" t="n">
        <f aca="false">H30*I30</f>
        <v>665600</v>
      </c>
      <c r="K30" s="64" t="n">
        <v>0.05</v>
      </c>
      <c r="L30" s="63" t="n">
        <f aca="false">J30*(1-K30)</f>
        <v>632320</v>
      </c>
      <c r="M30" s="62" t="n">
        <v>493209.6</v>
      </c>
      <c r="N30" s="63" t="n">
        <f aca="false">L30-M30</f>
        <v>139110.4</v>
      </c>
      <c r="O30" s="65" t="n">
        <f aca="false">IF(L30=0,0,N30/L30)</f>
        <v>0.22</v>
      </c>
      <c r="P30" s="63" t="n">
        <f aca="false">J30-L30</f>
        <v>33280</v>
      </c>
      <c r="Q30" s="66" t="n">
        <v>3.5</v>
      </c>
      <c r="R30" s="67" t="str">
        <f aca="false">IF(L30&gt;='What-If Lab'!$C$8,"Large",IF(L30&gt;='What-If Lab'!$C$9,"Medium","Small"))</f>
        <v>Medium</v>
      </c>
    </row>
    <row r="31" customFormat="false" ht="15" hidden="false" customHeight="false" outlineLevel="0" collapsed="false">
      <c r="A31" s="58" t="s">
        <v>173</v>
      </c>
      <c r="B31" s="59" t="n">
        <v>46205</v>
      </c>
      <c r="C31" s="60" t="n">
        <f aca="false">MONTH(B31)</f>
        <v>7</v>
      </c>
      <c r="D31" s="58" t="s">
        <v>62</v>
      </c>
      <c r="E31" s="58" t="s">
        <v>65</v>
      </c>
      <c r="F31" s="58" t="s">
        <v>92</v>
      </c>
      <c r="G31" s="58" t="s">
        <v>43</v>
      </c>
      <c r="H31" s="61" t="n">
        <v>4</v>
      </c>
      <c r="I31" s="62" t="n">
        <v>67900</v>
      </c>
      <c r="J31" s="63" t="n">
        <f aca="false">H31*I31</f>
        <v>271600</v>
      </c>
      <c r="K31" s="64" t="n">
        <v>0.1</v>
      </c>
      <c r="L31" s="63" t="n">
        <f aca="false">J31*(1-K31)</f>
        <v>244440</v>
      </c>
      <c r="M31" s="62" t="n">
        <v>151552.8</v>
      </c>
      <c r="N31" s="63" t="n">
        <f aca="false">L31-M31</f>
        <v>92887.2</v>
      </c>
      <c r="O31" s="65" t="n">
        <f aca="false">IF(L31=0,0,N31/L31)</f>
        <v>0.38</v>
      </c>
      <c r="P31" s="63" t="n">
        <f aca="false">J31-L31</f>
        <v>27160</v>
      </c>
      <c r="Q31" s="66" t="n">
        <v>4.4</v>
      </c>
      <c r="R31" s="67" t="str">
        <f aca="false">IF(L31&gt;='What-If Lab'!$C$8,"Large",IF(L31&gt;='What-If Lab'!$C$9,"Medium","Small"))</f>
        <v>Small</v>
      </c>
    </row>
    <row r="32" customFormat="false" ht="15" hidden="false" customHeight="false" outlineLevel="0" collapsed="false">
      <c r="A32" s="58" t="s">
        <v>174</v>
      </c>
      <c r="B32" s="59" t="n">
        <v>46156</v>
      </c>
      <c r="C32" s="60" t="n">
        <f aca="false">MONTH(B32)</f>
        <v>5</v>
      </c>
      <c r="D32" s="58" t="s">
        <v>62</v>
      </c>
      <c r="E32" s="58" t="s">
        <v>63</v>
      </c>
      <c r="F32" s="58" t="s">
        <v>90</v>
      </c>
      <c r="G32" s="58" t="s">
        <v>45</v>
      </c>
      <c r="H32" s="61" t="n">
        <v>4</v>
      </c>
      <c r="I32" s="62" t="n">
        <v>549200</v>
      </c>
      <c r="J32" s="63" t="n">
        <f aca="false">H32*I32</f>
        <v>2196800</v>
      </c>
      <c r="K32" s="64" t="n">
        <v>0.08</v>
      </c>
      <c r="L32" s="63" t="n">
        <f aca="false">J32*(1-K32)</f>
        <v>2021056</v>
      </c>
      <c r="M32" s="62" t="n">
        <v>1536002.56</v>
      </c>
      <c r="N32" s="63" t="n">
        <f aca="false">L32-M32</f>
        <v>485053.44</v>
      </c>
      <c r="O32" s="65" t="n">
        <f aca="false">IF(L32=0,0,N32/L32)</f>
        <v>0.24</v>
      </c>
      <c r="P32" s="63" t="n">
        <f aca="false">J32-L32</f>
        <v>175744</v>
      </c>
      <c r="Q32" s="66" t="n">
        <v>4.8</v>
      </c>
      <c r="R32" s="67" t="str">
        <f aca="false">IF(L32&gt;='What-If Lab'!$C$8,"Large",IF(L32&gt;='What-If Lab'!$C$9,"Medium","Small"))</f>
        <v>Large</v>
      </c>
    </row>
    <row r="33" customFormat="false" ht="15" hidden="false" customHeight="false" outlineLevel="0" collapsed="false">
      <c r="A33" s="58" t="s">
        <v>175</v>
      </c>
      <c r="B33" s="59" t="n">
        <v>46192</v>
      </c>
      <c r="C33" s="60" t="n">
        <f aca="false">MONTH(B33)</f>
        <v>6</v>
      </c>
      <c r="D33" s="58" t="s">
        <v>66</v>
      </c>
      <c r="E33" s="58" t="s">
        <v>63</v>
      </c>
      <c r="F33" s="58" t="s">
        <v>92</v>
      </c>
      <c r="G33" s="58" t="s">
        <v>47</v>
      </c>
      <c r="H33" s="61" t="n">
        <v>1</v>
      </c>
      <c r="I33" s="62" t="n">
        <v>185700</v>
      </c>
      <c r="J33" s="63" t="n">
        <f aca="false">H33*I33</f>
        <v>185700</v>
      </c>
      <c r="K33" s="64" t="n">
        <v>0.08</v>
      </c>
      <c r="L33" s="63" t="n">
        <f aca="false">J33*(1-K33)</f>
        <v>170844</v>
      </c>
      <c r="M33" s="62" t="n">
        <v>119590.8</v>
      </c>
      <c r="N33" s="63" t="n">
        <f aca="false">L33-M33</f>
        <v>51253.2</v>
      </c>
      <c r="O33" s="65" t="n">
        <f aca="false">IF(L33=0,0,N33/L33)</f>
        <v>0.3</v>
      </c>
      <c r="P33" s="63" t="n">
        <f aca="false">J33-L33</f>
        <v>14856</v>
      </c>
      <c r="Q33" s="66" t="n">
        <v>4.2</v>
      </c>
      <c r="R33" s="67" t="str">
        <f aca="false">IF(L33&gt;='What-If Lab'!$C$8,"Large",IF(L33&gt;='What-If Lab'!$C$9,"Medium","Small"))</f>
        <v>Small</v>
      </c>
    </row>
    <row r="34" customFormat="false" ht="15" hidden="false" customHeight="false" outlineLevel="0" collapsed="false">
      <c r="A34" s="58" t="s">
        <v>176</v>
      </c>
      <c r="B34" s="59" t="n">
        <v>46251</v>
      </c>
      <c r="C34" s="60" t="n">
        <f aca="false">MONTH(B34)</f>
        <v>8</v>
      </c>
      <c r="D34" s="58" t="s">
        <v>66</v>
      </c>
      <c r="E34" s="58" t="s">
        <v>65</v>
      </c>
      <c r="F34" s="58" t="s">
        <v>91</v>
      </c>
      <c r="G34" s="58" t="s">
        <v>43</v>
      </c>
      <c r="H34" s="61" t="n">
        <v>3</v>
      </c>
      <c r="I34" s="62" t="n">
        <v>62700</v>
      </c>
      <c r="J34" s="63" t="n">
        <f aca="false">H34*I34</f>
        <v>188100</v>
      </c>
      <c r="K34" s="64" t="n">
        <v>0</v>
      </c>
      <c r="L34" s="63" t="n">
        <f aca="false">J34*(1-K34)</f>
        <v>188100</v>
      </c>
      <c r="M34" s="62" t="n">
        <v>116622</v>
      </c>
      <c r="N34" s="63" t="n">
        <f aca="false">L34-M34</f>
        <v>71478</v>
      </c>
      <c r="O34" s="65" t="n">
        <f aca="false">IF(L34=0,0,N34/L34)</f>
        <v>0.38</v>
      </c>
      <c r="P34" s="63" t="n">
        <f aca="false">J34-L34</f>
        <v>0</v>
      </c>
      <c r="Q34" s="66" t="n">
        <v>4</v>
      </c>
      <c r="R34" s="67" t="str">
        <f aca="false">IF(L34&gt;='What-If Lab'!$C$8,"Large",IF(L34&gt;='What-If Lab'!$C$9,"Medium","Small"))</f>
        <v>Small</v>
      </c>
    </row>
    <row r="35" customFormat="false" ht="15" hidden="false" customHeight="false" outlineLevel="0" collapsed="false">
      <c r="A35" s="58" t="s">
        <v>177</v>
      </c>
      <c r="B35" s="59" t="n">
        <v>46093</v>
      </c>
      <c r="C35" s="60" t="n">
        <f aca="false">MONTH(B35)</f>
        <v>3</v>
      </c>
      <c r="D35" s="58" t="s">
        <v>58</v>
      </c>
      <c r="E35" s="58" t="s">
        <v>63</v>
      </c>
      <c r="F35" s="58" t="s">
        <v>90</v>
      </c>
      <c r="G35" s="58" t="s">
        <v>49</v>
      </c>
      <c r="H35" s="61" t="n">
        <v>1</v>
      </c>
      <c r="I35" s="62" t="n">
        <v>328300</v>
      </c>
      <c r="J35" s="63" t="n">
        <f aca="false">H35*I35</f>
        <v>328300</v>
      </c>
      <c r="K35" s="64" t="n">
        <v>0.05</v>
      </c>
      <c r="L35" s="63" t="n">
        <f aca="false">J35*(1-K35)</f>
        <v>311885</v>
      </c>
      <c r="M35" s="62" t="n">
        <v>243270.3</v>
      </c>
      <c r="N35" s="63" t="n">
        <f aca="false">L35-M35</f>
        <v>68614.7</v>
      </c>
      <c r="O35" s="65" t="n">
        <f aca="false">IF(L35=0,0,N35/L35)</f>
        <v>0.22</v>
      </c>
      <c r="P35" s="63" t="n">
        <f aca="false">J35-L35</f>
        <v>16415</v>
      </c>
      <c r="Q35" s="66" t="n">
        <v>3.8</v>
      </c>
      <c r="R35" s="67" t="str">
        <f aca="false">IF(L35&gt;='What-If Lab'!$C$8,"Large",IF(L35&gt;='What-If Lab'!$C$9,"Medium","Small"))</f>
        <v>Small</v>
      </c>
    </row>
    <row r="36" customFormat="false" ht="15" hidden="false" customHeight="false" outlineLevel="0" collapsed="false">
      <c r="A36" s="58" t="s">
        <v>178</v>
      </c>
      <c r="B36" s="59" t="n">
        <v>46141</v>
      </c>
      <c r="C36" s="60" t="n">
        <f aca="false">MONTH(B36)</f>
        <v>4</v>
      </c>
      <c r="D36" s="58" t="s">
        <v>64</v>
      </c>
      <c r="E36" s="58" t="s">
        <v>59</v>
      </c>
      <c r="F36" s="58" t="s">
        <v>91</v>
      </c>
      <c r="G36" s="58" t="s">
        <v>49</v>
      </c>
      <c r="H36" s="61" t="n">
        <v>1</v>
      </c>
      <c r="I36" s="62" t="n">
        <v>307400</v>
      </c>
      <c r="J36" s="63" t="n">
        <f aca="false">H36*I36</f>
        <v>307400</v>
      </c>
      <c r="K36" s="64" t="n">
        <v>0.08</v>
      </c>
      <c r="L36" s="63" t="n">
        <f aca="false">J36*(1-K36)</f>
        <v>282808</v>
      </c>
      <c r="M36" s="62" t="n">
        <v>220590.24</v>
      </c>
      <c r="N36" s="63" t="n">
        <f aca="false">L36-M36</f>
        <v>62217.76</v>
      </c>
      <c r="O36" s="65" t="n">
        <f aca="false">IF(L36=0,0,N36/L36)</f>
        <v>0.22</v>
      </c>
      <c r="P36" s="63" t="n">
        <f aca="false">J36-L36</f>
        <v>24592</v>
      </c>
      <c r="Q36" s="66" t="n">
        <v>4.3</v>
      </c>
      <c r="R36" s="67" t="str">
        <f aca="false">IF(L36&gt;='What-If Lab'!$C$8,"Large",IF(L36&gt;='What-If Lab'!$C$9,"Medium","Small"))</f>
        <v>Small</v>
      </c>
    </row>
    <row r="37" customFormat="false" ht="15" hidden="false" customHeight="false" outlineLevel="0" collapsed="false">
      <c r="A37" s="58" t="s">
        <v>179</v>
      </c>
      <c r="B37" s="59" t="n">
        <v>46038</v>
      </c>
      <c r="C37" s="60" t="n">
        <f aca="false">MONTH(B37)</f>
        <v>1</v>
      </c>
      <c r="D37" s="58" t="s">
        <v>58</v>
      </c>
      <c r="E37" s="58" t="s">
        <v>61</v>
      </c>
      <c r="F37" s="58" t="s">
        <v>92</v>
      </c>
      <c r="G37" s="58" t="s">
        <v>45</v>
      </c>
      <c r="H37" s="61" t="n">
        <v>4</v>
      </c>
      <c r="I37" s="62" t="n">
        <v>552900</v>
      </c>
      <c r="J37" s="63" t="n">
        <f aca="false">H37*I37</f>
        <v>2211600</v>
      </c>
      <c r="K37" s="64" t="n">
        <v>0</v>
      </c>
      <c r="L37" s="63" t="n">
        <f aca="false">J37*(1-K37)</f>
        <v>2211600</v>
      </c>
      <c r="M37" s="62" t="n">
        <v>1680816</v>
      </c>
      <c r="N37" s="63" t="n">
        <f aca="false">L37-M37</f>
        <v>530784</v>
      </c>
      <c r="O37" s="65" t="n">
        <f aca="false">IF(L37=0,0,N37/L37)</f>
        <v>0.24</v>
      </c>
      <c r="P37" s="63" t="n">
        <f aca="false">J37-L37</f>
        <v>0</v>
      </c>
      <c r="Q37" s="66" t="n">
        <v>4.8</v>
      </c>
      <c r="R37" s="67" t="str">
        <f aca="false">IF(L37&gt;='What-If Lab'!$C$8,"Large",IF(L37&gt;='What-If Lab'!$C$9,"Medium","Small"))</f>
        <v>Large</v>
      </c>
    </row>
    <row r="38" customFormat="false" ht="15" hidden="false" customHeight="false" outlineLevel="0" collapsed="false">
      <c r="A38" s="58" t="s">
        <v>180</v>
      </c>
      <c r="B38" s="59" t="n">
        <v>46283</v>
      </c>
      <c r="C38" s="60" t="n">
        <f aca="false">MONTH(B38)</f>
        <v>9</v>
      </c>
      <c r="D38" s="58" t="s">
        <v>58</v>
      </c>
      <c r="E38" s="58" t="s">
        <v>65</v>
      </c>
      <c r="F38" s="58" t="s">
        <v>91</v>
      </c>
      <c r="G38" s="58" t="s">
        <v>49</v>
      </c>
      <c r="H38" s="61" t="n">
        <v>5</v>
      </c>
      <c r="I38" s="62" t="n">
        <v>283300</v>
      </c>
      <c r="J38" s="63" t="n">
        <f aca="false">H38*I38</f>
        <v>1416500</v>
      </c>
      <c r="K38" s="64" t="n">
        <v>0.03</v>
      </c>
      <c r="L38" s="63" t="n">
        <f aca="false">J38*(1-K38)</f>
        <v>1374005</v>
      </c>
      <c r="M38" s="62" t="n">
        <v>1071723.9</v>
      </c>
      <c r="N38" s="63" t="n">
        <f aca="false">L38-M38</f>
        <v>302281.1</v>
      </c>
      <c r="O38" s="65" t="n">
        <f aca="false">IF(L38=0,0,N38/L38)</f>
        <v>0.22</v>
      </c>
      <c r="P38" s="63" t="n">
        <f aca="false">J38-L38</f>
        <v>42495</v>
      </c>
      <c r="Q38" s="66" t="n">
        <v>3.8</v>
      </c>
      <c r="R38" s="67" t="str">
        <f aca="false">IF(L38&gt;='What-If Lab'!$C$8,"Large",IF(L38&gt;='What-If Lab'!$C$9,"Medium","Small"))</f>
        <v>Medium</v>
      </c>
    </row>
    <row r="39" customFormat="false" ht="15" hidden="false" customHeight="false" outlineLevel="0" collapsed="false">
      <c r="A39" s="58" t="s">
        <v>181</v>
      </c>
      <c r="B39" s="59" t="n">
        <v>46132</v>
      </c>
      <c r="C39" s="60" t="n">
        <f aca="false">MONTH(B39)</f>
        <v>4</v>
      </c>
      <c r="D39" s="58" t="s">
        <v>58</v>
      </c>
      <c r="E39" s="58" t="s">
        <v>65</v>
      </c>
      <c r="F39" s="58" t="s">
        <v>91</v>
      </c>
      <c r="G39" s="58" t="s">
        <v>43</v>
      </c>
      <c r="H39" s="61" t="n">
        <v>2</v>
      </c>
      <c r="I39" s="62" t="n">
        <v>60600</v>
      </c>
      <c r="J39" s="63" t="n">
        <f aca="false">H39*I39</f>
        <v>121200</v>
      </c>
      <c r="K39" s="64" t="n">
        <v>0.1</v>
      </c>
      <c r="L39" s="63" t="n">
        <f aca="false">J39*(1-K39)</f>
        <v>109080</v>
      </c>
      <c r="M39" s="62" t="n">
        <v>67629.6</v>
      </c>
      <c r="N39" s="63" t="n">
        <f aca="false">L39-M39</f>
        <v>41450.4</v>
      </c>
      <c r="O39" s="65" t="n">
        <f aca="false">IF(L39=0,0,N39/L39)</f>
        <v>0.38</v>
      </c>
      <c r="P39" s="63" t="n">
        <f aca="false">J39-L39</f>
        <v>12120</v>
      </c>
      <c r="Q39" s="66" t="n">
        <v>4.4</v>
      </c>
      <c r="R39" s="67" t="str">
        <f aca="false">IF(L39&gt;='What-If Lab'!$C$8,"Large",IF(L39&gt;='What-If Lab'!$C$9,"Medium","Small"))</f>
        <v>Small</v>
      </c>
    </row>
    <row r="40" customFormat="false" ht="15" hidden="false" customHeight="false" outlineLevel="0" collapsed="false">
      <c r="A40" s="58" t="s">
        <v>182</v>
      </c>
      <c r="B40" s="59" t="n">
        <v>46210</v>
      </c>
      <c r="C40" s="60" t="n">
        <f aca="false">MONTH(B40)</f>
        <v>7</v>
      </c>
      <c r="D40" s="58" t="s">
        <v>66</v>
      </c>
      <c r="E40" s="58" t="s">
        <v>63</v>
      </c>
      <c r="F40" s="58" t="s">
        <v>90</v>
      </c>
      <c r="G40" s="58" t="s">
        <v>47</v>
      </c>
      <c r="H40" s="61" t="n">
        <v>5</v>
      </c>
      <c r="I40" s="62" t="n">
        <v>169400</v>
      </c>
      <c r="J40" s="63" t="n">
        <f aca="false">H40*I40</f>
        <v>847000</v>
      </c>
      <c r="K40" s="64" t="n">
        <v>0.03</v>
      </c>
      <c r="L40" s="63" t="n">
        <f aca="false">J40*(1-K40)</f>
        <v>821590</v>
      </c>
      <c r="M40" s="62" t="n">
        <v>575113</v>
      </c>
      <c r="N40" s="63" t="n">
        <f aca="false">L40-M40</f>
        <v>246477</v>
      </c>
      <c r="O40" s="65" t="n">
        <f aca="false">IF(L40=0,0,N40/L40)</f>
        <v>0.3</v>
      </c>
      <c r="P40" s="63" t="n">
        <f aca="false">J40-L40</f>
        <v>25410</v>
      </c>
      <c r="Q40" s="66" t="n">
        <v>3.5</v>
      </c>
      <c r="R40" s="67" t="str">
        <f aca="false">IF(L40&gt;='What-If Lab'!$C$8,"Large",IF(L40&gt;='What-If Lab'!$C$9,"Medium","Small"))</f>
        <v>Medium</v>
      </c>
    </row>
    <row r="41" customFormat="false" ht="15" hidden="false" customHeight="false" outlineLevel="0" collapsed="false">
      <c r="A41" s="58" t="s">
        <v>183</v>
      </c>
      <c r="B41" s="59" t="n">
        <v>46259</v>
      </c>
      <c r="C41" s="60" t="n">
        <f aca="false">MONTH(B41)</f>
        <v>8</v>
      </c>
      <c r="D41" s="58" t="s">
        <v>62</v>
      </c>
      <c r="E41" s="58" t="s">
        <v>61</v>
      </c>
      <c r="F41" s="58" t="s">
        <v>90</v>
      </c>
      <c r="G41" s="58" t="s">
        <v>49</v>
      </c>
      <c r="H41" s="61" t="n">
        <v>4</v>
      </c>
      <c r="I41" s="62" t="n">
        <v>319500</v>
      </c>
      <c r="J41" s="63" t="n">
        <f aca="false">H41*I41</f>
        <v>1278000</v>
      </c>
      <c r="K41" s="64" t="n">
        <v>0.1</v>
      </c>
      <c r="L41" s="63" t="n">
        <f aca="false">J41*(1-K41)</f>
        <v>1150200</v>
      </c>
      <c r="M41" s="62" t="n">
        <v>897156</v>
      </c>
      <c r="N41" s="63" t="n">
        <f aca="false">L41-M41</f>
        <v>253044</v>
      </c>
      <c r="O41" s="65" t="n">
        <f aca="false">IF(L41=0,0,N41/L41)</f>
        <v>0.22</v>
      </c>
      <c r="P41" s="63" t="n">
        <f aca="false">J41-L41</f>
        <v>127800</v>
      </c>
      <c r="Q41" s="66" t="n">
        <v>3.4</v>
      </c>
      <c r="R41" s="67" t="str">
        <f aca="false">IF(L41&gt;='What-If Lab'!$C$8,"Large",IF(L41&gt;='What-If Lab'!$C$9,"Medium","Small"))</f>
        <v>Medium</v>
      </c>
    </row>
    <row r="42" customFormat="false" ht="15" hidden="false" customHeight="false" outlineLevel="0" collapsed="false">
      <c r="A42" s="58" t="s">
        <v>184</v>
      </c>
      <c r="B42" s="59" t="n">
        <v>46183</v>
      </c>
      <c r="C42" s="60" t="n">
        <f aca="false">MONTH(B42)</f>
        <v>6</v>
      </c>
      <c r="D42" s="58" t="s">
        <v>58</v>
      </c>
      <c r="E42" s="58" t="s">
        <v>63</v>
      </c>
      <c r="F42" s="58" t="s">
        <v>90</v>
      </c>
      <c r="G42" s="58" t="s">
        <v>49</v>
      </c>
      <c r="H42" s="61" t="n">
        <v>3</v>
      </c>
      <c r="I42" s="62" t="n">
        <v>324000</v>
      </c>
      <c r="J42" s="63" t="n">
        <f aca="false">H42*I42</f>
        <v>972000</v>
      </c>
      <c r="K42" s="64" t="n">
        <v>0.1</v>
      </c>
      <c r="L42" s="63" t="n">
        <f aca="false">J42*(1-K42)</f>
        <v>874800</v>
      </c>
      <c r="M42" s="62" t="n">
        <v>682344</v>
      </c>
      <c r="N42" s="63" t="n">
        <f aca="false">L42-M42</f>
        <v>192456</v>
      </c>
      <c r="O42" s="65" t="n">
        <f aca="false">IF(L42=0,0,N42/L42)</f>
        <v>0.22</v>
      </c>
      <c r="P42" s="63" t="n">
        <f aca="false">J42-L42</f>
        <v>97200</v>
      </c>
      <c r="Q42" s="66" t="n">
        <v>4.1</v>
      </c>
      <c r="R42" s="67" t="str">
        <f aca="false">IF(L42&gt;='What-If Lab'!$C$8,"Large",IF(L42&gt;='What-If Lab'!$C$9,"Medium","Small"))</f>
        <v>Medium</v>
      </c>
    </row>
    <row r="43" customFormat="false" ht="15" hidden="false" customHeight="false" outlineLevel="0" collapsed="false">
      <c r="A43" s="58" t="s">
        <v>185</v>
      </c>
      <c r="B43" s="59" t="n">
        <v>46150</v>
      </c>
      <c r="C43" s="60" t="n">
        <f aca="false">MONTH(B43)</f>
        <v>5</v>
      </c>
      <c r="D43" s="58" t="s">
        <v>62</v>
      </c>
      <c r="E43" s="58" t="s">
        <v>63</v>
      </c>
      <c r="F43" s="58" t="s">
        <v>90</v>
      </c>
      <c r="G43" s="58" t="s">
        <v>43</v>
      </c>
      <c r="H43" s="61" t="n">
        <v>1</v>
      </c>
      <c r="I43" s="62" t="n">
        <v>59000</v>
      </c>
      <c r="J43" s="63" t="n">
        <f aca="false">H43*I43</f>
        <v>59000</v>
      </c>
      <c r="K43" s="64" t="n">
        <v>0.1</v>
      </c>
      <c r="L43" s="63" t="n">
        <f aca="false">J43*(1-K43)</f>
        <v>53100</v>
      </c>
      <c r="M43" s="62" t="n">
        <v>32922</v>
      </c>
      <c r="N43" s="63" t="n">
        <f aca="false">L43-M43</f>
        <v>20178</v>
      </c>
      <c r="O43" s="65" t="n">
        <f aca="false">IF(L43=0,0,N43/L43)</f>
        <v>0.38</v>
      </c>
      <c r="P43" s="63" t="n">
        <f aca="false">J43-L43</f>
        <v>5900</v>
      </c>
      <c r="Q43" s="66" t="n">
        <v>3.6</v>
      </c>
      <c r="R43" s="67" t="str">
        <f aca="false">IF(L43&gt;='What-If Lab'!$C$8,"Large",IF(L43&gt;='What-If Lab'!$C$9,"Medium","Small"))</f>
        <v>Small</v>
      </c>
    </row>
    <row r="44" customFormat="false" ht="15" hidden="false" customHeight="false" outlineLevel="0" collapsed="false">
      <c r="A44" s="58" t="s">
        <v>186</v>
      </c>
      <c r="B44" s="59" t="n">
        <v>46139</v>
      </c>
      <c r="C44" s="60" t="n">
        <f aca="false">MONTH(B44)</f>
        <v>4</v>
      </c>
      <c r="D44" s="58" t="s">
        <v>60</v>
      </c>
      <c r="E44" s="58" t="s">
        <v>65</v>
      </c>
      <c r="F44" s="58" t="s">
        <v>90</v>
      </c>
      <c r="G44" s="58" t="s">
        <v>43</v>
      </c>
      <c r="H44" s="61" t="n">
        <v>2</v>
      </c>
      <c r="I44" s="62" t="n">
        <v>67000</v>
      </c>
      <c r="J44" s="63" t="n">
        <f aca="false">H44*I44</f>
        <v>134000</v>
      </c>
      <c r="K44" s="64" t="n">
        <v>0.08</v>
      </c>
      <c r="L44" s="63" t="n">
        <f aca="false">J44*(1-K44)</f>
        <v>123280</v>
      </c>
      <c r="M44" s="62" t="n">
        <v>76433.6</v>
      </c>
      <c r="N44" s="63" t="n">
        <f aca="false">L44-M44</f>
        <v>46846.4</v>
      </c>
      <c r="O44" s="65" t="n">
        <f aca="false">IF(L44=0,0,N44/L44)</f>
        <v>0.38</v>
      </c>
      <c r="P44" s="63" t="n">
        <f aca="false">J44-L44</f>
        <v>10720</v>
      </c>
      <c r="Q44" s="66" t="n">
        <v>3.4</v>
      </c>
      <c r="R44" s="67" t="str">
        <f aca="false">IF(L44&gt;='What-If Lab'!$C$8,"Large",IF(L44&gt;='What-If Lab'!$C$9,"Medium","Small"))</f>
        <v>Small</v>
      </c>
    </row>
    <row r="45" customFormat="false" ht="15" hidden="false" customHeight="false" outlineLevel="0" collapsed="false">
      <c r="A45" s="58" t="s">
        <v>187</v>
      </c>
      <c r="B45" s="59" t="n">
        <v>46277</v>
      </c>
      <c r="C45" s="60" t="n">
        <f aca="false">MONTH(B45)</f>
        <v>9</v>
      </c>
      <c r="D45" s="58" t="s">
        <v>64</v>
      </c>
      <c r="E45" s="58" t="s">
        <v>59</v>
      </c>
      <c r="F45" s="58" t="s">
        <v>90</v>
      </c>
      <c r="G45" s="58" t="s">
        <v>47</v>
      </c>
      <c r="H45" s="61" t="n">
        <v>1</v>
      </c>
      <c r="I45" s="62" t="n">
        <v>188000</v>
      </c>
      <c r="J45" s="63" t="n">
        <f aca="false">H45*I45</f>
        <v>188000</v>
      </c>
      <c r="K45" s="64" t="n">
        <v>0.08</v>
      </c>
      <c r="L45" s="63" t="n">
        <f aca="false">J45*(1-K45)</f>
        <v>172960</v>
      </c>
      <c r="M45" s="62" t="n">
        <v>121072</v>
      </c>
      <c r="N45" s="63" t="n">
        <f aca="false">L45-M45</f>
        <v>51888</v>
      </c>
      <c r="O45" s="65" t="n">
        <f aca="false">IF(L45=0,0,N45/L45)</f>
        <v>0.3</v>
      </c>
      <c r="P45" s="63" t="n">
        <f aca="false">J45-L45</f>
        <v>15040</v>
      </c>
      <c r="Q45" s="66" t="n">
        <v>3.6</v>
      </c>
      <c r="R45" s="67" t="str">
        <f aca="false">IF(L45&gt;='What-If Lab'!$C$8,"Large",IF(L45&gt;='What-If Lab'!$C$9,"Medium","Small"))</f>
        <v>Small</v>
      </c>
    </row>
    <row r="46" customFormat="false" ht="15" hidden="false" customHeight="false" outlineLevel="0" collapsed="false">
      <c r="A46" s="58" t="s">
        <v>188</v>
      </c>
      <c r="B46" s="59" t="n">
        <v>46048</v>
      </c>
      <c r="C46" s="60" t="n">
        <f aca="false">MONTH(B46)</f>
        <v>1</v>
      </c>
      <c r="D46" s="58" t="s">
        <v>64</v>
      </c>
      <c r="E46" s="58" t="s">
        <v>61</v>
      </c>
      <c r="F46" s="58" t="s">
        <v>91</v>
      </c>
      <c r="G46" s="58" t="s">
        <v>49</v>
      </c>
      <c r="H46" s="61" t="n">
        <v>2</v>
      </c>
      <c r="I46" s="62" t="n">
        <v>280700</v>
      </c>
      <c r="J46" s="63" t="n">
        <f aca="false">H46*I46</f>
        <v>561400</v>
      </c>
      <c r="K46" s="64" t="n">
        <v>0</v>
      </c>
      <c r="L46" s="63" t="n">
        <f aca="false">J46*(1-K46)</f>
        <v>561400</v>
      </c>
      <c r="M46" s="62" t="n">
        <v>437892</v>
      </c>
      <c r="N46" s="63" t="n">
        <f aca="false">L46-M46</f>
        <v>123508</v>
      </c>
      <c r="O46" s="65" t="n">
        <f aca="false">IF(L46=0,0,N46/L46)</f>
        <v>0.22</v>
      </c>
      <c r="P46" s="63" t="n">
        <f aca="false">J46-L46</f>
        <v>0</v>
      </c>
      <c r="Q46" s="66" t="n">
        <v>4.8</v>
      </c>
      <c r="R46" s="67" t="str">
        <f aca="false">IF(L46&gt;='What-If Lab'!$C$8,"Large",IF(L46&gt;='What-If Lab'!$C$9,"Medium","Small"))</f>
        <v>Medium</v>
      </c>
    </row>
    <row r="47" customFormat="false" ht="15" hidden="false" customHeight="false" outlineLevel="0" collapsed="false">
      <c r="A47" s="58" t="s">
        <v>189</v>
      </c>
      <c r="B47" s="59" t="n">
        <v>46072</v>
      </c>
      <c r="C47" s="60" t="n">
        <f aca="false">MONTH(B47)</f>
        <v>2</v>
      </c>
      <c r="D47" s="58" t="s">
        <v>62</v>
      </c>
      <c r="E47" s="58" t="s">
        <v>59</v>
      </c>
      <c r="F47" s="58" t="s">
        <v>91</v>
      </c>
      <c r="G47" s="58" t="s">
        <v>45</v>
      </c>
      <c r="H47" s="61" t="n">
        <v>3</v>
      </c>
      <c r="I47" s="62" t="n">
        <v>507600</v>
      </c>
      <c r="J47" s="63" t="n">
        <f aca="false">H47*I47</f>
        <v>1522800</v>
      </c>
      <c r="K47" s="64" t="n">
        <v>0.1</v>
      </c>
      <c r="L47" s="63" t="n">
        <f aca="false">J47*(1-K47)</f>
        <v>1370520</v>
      </c>
      <c r="M47" s="62" t="n">
        <v>1041595.2</v>
      </c>
      <c r="N47" s="63" t="n">
        <f aca="false">L47-M47</f>
        <v>328924.8</v>
      </c>
      <c r="O47" s="65" t="n">
        <f aca="false">IF(L47=0,0,N47/L47)</f>
        <v>0.24</v>
      </c>
      <c r="P47" s="63" t="n">
        <f aca="false">J47-L47</f>
        <v>152280</v>
      </c>
      <c r="Q47" s="66" t="n">
        <v>5</v>
      </c>
      <c r="R47" s="67" t="str">
        <f aca="false">IF(L47&gt;='What-If Lab'!$C$8,"Large",IF(L47&gt;='What-If Lab'!$C$9,"Medium","Small"))</f>
        <v>Medium</v>
      </c>
    </row>
    <row r="48" customFormat="false" ht="15" hidden="false" customHeight="false" outlineLevel="0" collapsed="false">
      <c r="A48" s="58" t="s">
        <v>190</v>
      </c>
      <c r="B48" s="59" t="n">
        <v>46076</v>
      </c>
      <c r="C48" s="60" t="n">
        <f aca="false">MONTH(B48)</f>
        <v>2</v>
      </c>
      <c r="D48" s="58" t="s">
        <v>60</v>
      </c>
      <c r="E48" s="58" t="s">
        <v>61</v>
      </c>
      <c r="F48" s="58" t="s">
        <v>91</v>
      </c>
      <c r="G48" s="58" t="s">
        <v>45</v>
      </c>
      <c r="H48" s="61" t="n">
        <v>3</v>
      </c>
      <c r="I48" s="62" t="n">
        <v>511200</v>
      </c>
      <c r="J48" s="63" t="n">
        <f aca="false">H48*I48</f>
        <v>1533600</v>
      </c>
      <c r="K48" s="64" t="n">
        <v>0.03</v>
      </c>
      <c r="L48" s="63" t="n">
        <f aca="false">J48*(1-K48)</f>
        <v>1487592</v>
      </c>
      <c r="M48" s="62" t="n">
        <v>1130569.92</v>
      </c>
      <c r="N48" s="63" t="n">
        <f aca="false">L48-M48</f>
        <v>357022.08</v>
      </c>
      <c r="O48" s="65" t="n">
        <f aca="false">IF(L48=0,0,N48/L48)</f>
        <v>0.24</v>
      </c>
      <c r="P48" s="63" t="n">
        <f aca="false">J48-L48</f>
        <v>46008</v>
      </c>
      <c r="Q48" s="66" t="n">
        <v>4.2</v>
      </c>
      <c r="R48" s="67" t="str">
        <f aca="false">IF(L48&gt;='What-If Lab'!$C$8,"Large",IF(L48&gt;='What-If Lab'!$C$9,"Medium","Small"))</f>
        <v>Medium</v>
      </c>
    </row>
    <row r="49" customFormat="false" ht="15" hidden="false" customHeight="false" outlineLevel="0" collapsed="false">
      <c r="A49" s="58" t="s">
        <v>191</v>
      </c>
      <c r="B49" s="59" t="n">
        <v>46154</v>
      </c>
      <c r="C49" s="60" t="n">
        <f aca="false">MONTH(B49)</f>
        <v>5</v>
      </c>
      <c r="D49" s="58" t="s">
        <v>66</v>
      </c>
      <c r="E49" s="58" t="s">
        <v>65</v>
      </c>
      <c r="F49" s="58" t="s">
        <v>92</v>
      </c>
      <c r="G49" s="58" t="s">
        <v>45</v>
      </c>
      <c r="H49" s="61" t="n">
        <v>3</v>
      </c>
      <c r="I49" s="62" t="n">
        <v>558100</v>
      </c>
      <c r="J49" s="63" t="n">
        <f aca="false">H49*I49</f>
        <v>1674300</v>
      </c>
      <c r="K49" s="64" t="n">
        <v>0.1</v>
      </c>
      <c r="L49" s="63" t="n">
        <f aca="false">J49*(1-K49)</f>
        <v>1506870</v>
      </c>
      <c r="M49" s="62" t="n">
        <v>1145221.2</v>
      </c>
      <c r="N49" s="63" t="n">
        <f aca="false">L49-M49</f>
        <v>361648.8</v>
      </c>
      <c r="O49" s="65" t="n">
        <f aca="false">IF(L49=0,0,N49/L49)</f>
        <v>0.24</v>
      </c>
      <c r="P49" s="63" t="n">
        <f aca="false">J49-L49</f>
        <v>167430</v>
      </c>
      <c r="Q49" s="66" t="n">
        <v>2.8</v>
      </c>
      <c r="R49" s="67" t="str">
        <f aca="false">IF(L49&gt;='What-If Lab'!$C$8,"Large",IF(L49&gt;='What-If Lab'!$C$9,"Medium","Small"))</f>
        <v>Large</v>
      </c>
    </row>
    <row r="50" customFormat="false" ht="15" hidden="false" customHeight="false" outlineLevel="0" collapsed="false">
      <c r="A50" s="58" t="s">
        <v>192</v>
      </c>
      <c r="B50" s="59" t="n">
        <v>46026</v>
      </c>
      <c r="C50" s="60" t="n">
        <f aca="false">MONTH(B50)</f>
        <v>1</v>
      </c>
      <c r="D50" s="58" t="s">
        <v>58</v>
      </c>
      <c r="E50" s="58" t="s">
        <v>59</v>
      </c>
      <c r="F50" s="58" t="s">
        <v>90</v>
      </c>
      <c r="G50" s="58" t="s">
        <v>49</v>
      </c>
      <c r="H50" s="61" t="n">
        <v>3</v>
      </c>
      <c r="I50" s="62" t="n">
        <v>319400</v>
      </c>
      <c r="J50" s="63" t="n">
        <f aca="false">H50*I50</f>
        <v>958200</v>
      </c>
      <c r="K50" s="64" t="n">
        <v>0.03</v>
      </c>
      <c r="L50" s="63" t="n">
        <f aca="false">J50*(1-K50)</f>
        <v>929454</v>
      </c>
      <c r="M50" s="62" t="n">
        <v>724974.12</v>
      </c>
      <c r="N50" s="63" t="n">
        <f aca="false">L50-M50</f>
        <v>204479.88</v>
      </c>
      <c r="O50" s="65" t="n">
        <f aca="false">IF(L50=0,0,N50/L50)</f>
        <v>0.22</v>
      </c>
      <c r="P50" s="63" t="n">
        <f aca="false">J50-L50</f>
        <v>28746</v>
      </c>
      <c r="Q50" s="66" t="n">
        <v>3</v>
      </c>
      <c r="R50" s="67" t="str">
        <f aca="false">IF(L50&gt;='What-If Lab'!$C$8,"Large",IF(L50&gt;='What-If Lab'!$C$9,"Medium","Small"))</f>
        <v>Medium</v>
      </c>
    </row>
    <row r="51" customFormat="false" ht="15" hidden="false" customHeight="false" outlineLevel="0" collapsed="false">
      <c r="A51" s="58" t="s">
        <v>193</v>
      </c>
      <c r="B51" s="59" t="n">
        <v>46246</v>
      </c>
      <c r="C51" s="60" t="n">
        <f aca="false">MONTH(B51)</f>
        <v>8</v>
      </c>
      <c r="D51" s="58" t="s">
        <v>62</v>
      </c>
      <c r="E51" s="58" t="s">
        <v>65</v>
      </c>
      <c r="F51" s="58" t="s">
        <v>90</v>
      </c>
      <c r="G51" s="58" t="s">
        <v>43</v>
      </c>
      <c r="H51" s="61" t="n">
        <v>1</v>
      </c>
      <c r="I51" s="62" t="n">
        <v>67800</v>
      </c>
      <c r="J51" s="63" t="n">
        <f aca="false">H51*I51</f>
        <v>67800</v>
      </c>
      <c r="K51" s="64" t="n">
        <v>0</v>
      </c>
      <c r="L51" s="63" t="n">
        <f aca="false">J51*(1-K51)</f>
        <v>67800</v>
      </c>
      <c r="M51" s="62" t="n">
        <v>42036</v>
      </c>
      <c r="N51" s="63" t="n">
        <f aca="false">L51-M51</f>
        <v>25764</v>
      </c>
      <c r="O51" s="65" t="n">
        <f aca="false">IF(L51=0,0,N51/L51)</f>
        <v>0.38</v>
      </c>
      <c r="P51" s="63" t="n">
        <f aca="false">J51-L51</f>
        <v>0</v>
      </c>
      <c r="Q51" s="66" t="n">
        <v>3.7</v>
      </c>
      <c r="R51" s="67" t="str">
        <f aca="false">IF(L51&gt;='What-If Lab'!$C$8,"Large",IF(L51&gt;='What-If Lab'!$C$9,"Medium","Small"))</f>
        <v>Small</v>
      </c>
    </row>
    <row r="52" customFormat="false" ht="15" hidden="false" customHeight="false" outlineLevel="0" collapsed="false">
      <c r="A52" s="58" t="s">
        <v>194</v>
      </c>
      <c r="B52" s="59" t="n">
        <v>46181</v>
      </c>
      <c r="C52" s="60" t="n">
        <f aca="false">MONTH(B52)</f>
        <v>6</v>
      </c>
      <c r="D52" s="58" t="s">
        <v>62</v>
      </c>
      <c r="E52" s="58" t="s">
        <v>59</v>
      </c>
      <c r="F52" s="58" t="s">
        <v>90</v>
      </c>
      <c r="G52" s="58" t="s">
        <v>45</v>
      </c>
      <c r="H52" s="61" t="n">
        <v>3</v>
      </c>
      <c r="I52" s="62" t="n">
        <v>544000</v>
      </c>
      <c r="J52" s="63" t="n">
        <f aca="false">H52*I52</f>
        <v>1632000</v>
      </c>
      <c r="K52" s="64" t="n">
        <v>0.05</v>
      </c>
      <c r="L52" s="63" t="n">
        <f aca="false">J52*(1-K52)</f>
        <v>1550400</v>
      </c>
      <c r="M52" s="62" t="n">
        <v>1178304</v>
      </c>
      <c r="N52" s="63" t="n">
        <f aca="false">L52-M52</f>
        <v>372096</v>
      </c>
      <c r="O52" s="65" t="n">
        <f aca="false">IF(L52=0,0,N52/L52)</f>
        <v>0.24</v>
      </c>
      <c r="P52" s="63" t="n">
        <f aca="false">J52-L52</f>
        <v>81600</v>
      </c>
      <c r="Q52" s="66" t="n">
        <v>4.2</v>
      </c>
      <c r="R52" s="67" t="str">
        <f aca="false">IF(L52&gt;='What-If Lab'!$C$8,"Large",IF(L52&gt;='What-If Lab'!$C$9,"Medium","Small"))</f>
        <v>Large</v>
      </c>
    </row>
    <row r="53" customFormat="false" ht="15" hidden="false" customHeight="false" outlineLevel="0" collapsed="false">
      <c r="A53" s="58" t="s">
        <v>195</v>
      </c>
      <c r="B53" s="59" t="n">
        <v>46037</v>
      </c>
      <c r="C53" s="60" t="n">
        <f aca="false">MONTH(B53)</f>
        <v>1</v>
      </c>
      <c r="D53" s="58" t="s">
        <v>64</v>
      </c>
      <c r="E53" s="58" t="s">
        <v>63</v>
      </c>
      <c r="F53" s="58" t="s">
        <v>91</v>
      </c>
      <c r="G53" s="58" t="s">
        <v>45</v>
      </c>
      <c r="H53" s="61" t="n">
        <v>1</v>
      </c>
      <c r="I53" s="62" t="n">
        <v>479000</v>
      </c>
      <c r="J53" s="63" t="n">
        <f aca="false">H53*I53</f>
        <v>479000</v>
      </c>
      <c r="K53" s="64" t="n">
        <v>0.1</v>
      </c>
      <c r="L53" s="63" t="n">
        <f aca="false">J53*(1-K53)</f>
        <v>431100</v>
      </c>
      <c r="M53" s="62" t="n">
        <v>327636</v>
      </c>
      <c r="N53" s="63" t="n">
        <f aca="false">L53-M53</f>
        <v>103464</v>
      </c>
      <c r="O53" s="65" t="n">
        <f aca="false">IF(L53=0,0,N53/L53)</f>
        <v>0.24</v>
      </c>
      <c r="P53" s="63" t="n">
        <f aca="false">J53-L53</f>
        <v>47900</v>
      </c>
      <c r="Q53" s="66" t="n">
        <v>4.8</v>
      </c>
      <c r="R53" s="67" t="str">
        <f aca="false">IF(L53&gt;='What-If Lab'!$C$8,"Large",IF(L53&gt;='What-If Lab'!$C$9,"Medium","Small"))</f>
        <v>Small</v>
      </c>
    </row>
    <row r="54" customFormat="false" ht="15" hidden="false" customHeight="false" outlineLevel="0" collapsed="false">
      <c r="A54" s="58" t="s">
        <v>196</v>
      </c>
      <c r="B54" s="59" t="n">
        <v>46100</v>
      </c>
      <c r="C54" s="60" t="n">
        <f aca="false">MONTH(B54)</f>
        <v>3</v>
      </c>
      <c r="D54" s="58" t="s">
        <v>64</v>
      </c>
      <c r="E54" s="58" t="s">
        <v>59</v>
      </c>
      <c r="F54" s="58" t="s">
        <v>90</v>
      </c>
      <c r="G54" s="58" t="s">
        <v>49</v>
      </c>
      <c r="H54" s="61" t="n">
        <v>2</v>
      </c>
      <c r="I54" s="62" t="n">
        <v>292400</v>
      </c>
      <c r="J54" s="63" t="n">
        <f aca="false">H54*I54</f>
        <v>584800</v>
      </c>
      <c r="K54" s="64" t="n">
        <v>0.1</v>
      </c>
      <c r="L54" s="63" t="n">
        <f aca="false">J54*(1-K54)</f>
        <v>526320</v>
      </c>
      <c r="M54" s="62" t="n">
        <v>410529.6</v>
      </c>
      <c r="N54" s="63" t="n">
        <f aca="false">L54-M54</f>
        <v>115790.4</v>
      </c>
      <c r="O54" s="65" t="n">
        <f aca="false">IF(L54=0,0,N54/L54)</f>
        <v>0.22</v>
      </c>
      <c r="P54" s="63" t="n">
        <f aca="false">J54-L54</f>
        <v>58480</v>
      </c>
      <c r="Q54" s="66" t="n">
        <v>4.3</v>
      </c>
      <c r="R54" s="67" t="str">
        <f aca="false">IF(L54&gt;='What-If Lab'!$C$8,"Large",IF(L54&gt;='What-If Lab'!$C$9,"Medium","Small"))</f>
        <v>Medium</v>
      </c>
    </row>
    <row r="55" customFormat="false" ht="15" hidden="false" customHeight="false" outlineLevel="0" collapsed="false">
      <c r="A55" s="58" t="s">
        <v>197</v>
      </c>
      <c r="B55" s="59" t="n">
        <v>46035</v>
      </c>
      <c r="C55" s="60" t="n">
        <f aca="false">MONTH(B55)</f>
        <v>1</v>
      </c>
      <c r="D55" s="58" t="s">
        <v>66</v>
      </c>
      <c r="E55" s="58" t="s">
        <v>63</v>
      </c>
      <c r="F55" s="58" t="s">
        <v>91</v>
      </c>
      <c r="G55" s="58" t="s">
        <v>47</v>
      </c>
      <c r="H55" s="61" t="n">
        <v>4</v>
      </c>
      <c r="I55" s="62" t="n">
        <v>179800</v>
      </c>
      <c r="J55" s="63" t="n">
        <f aca="false">H55*I55</f>
        <v>719200</v>
      </c>
      <c r="K55" s="64" t="n">
        <v>0.08</v>
      </c>
      <c r="L55" s="63" t="n">
        <f aca="false">J55*(1-K55)</f>
        <v>661664</v>
      </c>
      <c r="M55" s="62" t="n">
        <v>463164.8</v>
      </c>
      <c r="N55" s="63" t="n">
        <f aca="false">L55-M55</f>
        <v>198499.2</v>
      </c>
      <c r="O55" s="65" t="n">
        <f aca="false">IF(L55=0,0,N55/L55)</f>
        <v>0.3</v>
      </c>
      <c r="P55" s="63" t="n">
        <f aca="false">J55-L55</f>
        <v>57536</v>
      </c>
      <c r="Q55" s="66" t="n">
        <v>3.1</v>
      </c>
      <c r="R55" s="67" t="str">
        <f aca="false">IF(L55&gt;='What-If Lab'!$C$8,"Large",IF(L55&gt;='What-If Lab'!$C$9,"Medium","Small"))</f>
        <v>Medium</v>
      </c>
    </row>
    <row r="56" customFormat="false" ht="15" hidden="false" customHeight="false" outlineLevel="0" collapsed="false">
      <c r="A56" s="58" t="s">
        <v>198</v>
      </c>
      <c r="B56" s="59" t="n">
        <v>46101</v>
      </c>
      <c r="C56" s="60" t="n">
        <f aca="false">MONTH(B56)</f>
        <v>3</v>
      </c>
      <c r="D56" s="58" t="s">
        <v>64</v>
      </c>
      <c r="E56" s="58" t="s">
        <v>59</v>
      </c>
      <c r="F56" s="58" t="s">
        <v>91</v>
      </c>
      <c r="G56" s="58" t="s">
        <v>49</v>
      </c>
      <c r="H56" s="61" t="n">
        <v>4</v>
      </c>
      <c r="I56" s="62" t="n">
        <v>285200</v>
      </c>
      <c r="J56" s="63" t="n">
        <f aca="false">H56*I56</f>
        <v>1140800</v>
      </c>
      <c r="K56" s="64" t="n">
        <v>0.1</v>
      </c>
      <c r="L56" s="63" t="n">
        <f aca="false">J56*(1-K56)</f>
        <v>1026720</v>
      </c>
      <c r="M56" s="62" t="n">
        <v>800841.6</v>
      </c>
      <c r="N56" s="63" t="n">
        <f aca="false">L56-M56</f>
        <v>225878.4</v>
      </c>
      <c r="O56" s="65" t="n">
        <f aca="false">IF(L56=0,0,N56/L56)</f>
        <v>0.22</v>
      </c>
      <c r="P56" s="63" t="n">
        <f aca="false">J56-L56</f>
        <v>114080</v>
      </c>
      <c r="Q56" s="66" t="n">
        <v>3.4</v>
      </c>
      <c r="R56" s="67" t="str">
        <f aca="false">IF(L56&gt;='What-If Lab'!$C$8,"Large",IF(L56&gt;='What-If Lab'!$C$9,"Medium","Small"))</f>
        <v>Medium</v>
      </c>
    </row>
    <row r="57" customFormat="false" ht="15" hidden="false" customHeight="false" outlineLevel="0" collapsed="false">
      <c r="A57" s="58" t="s">
        <v>199</v>
      </c>
      <c r="B57" s="59" t="n">
        <v>46254</v>
      </c>
      <c r="C57" s="60" t="n">
        <f aca="false">MONTH(B57)</f>
        <v>8</v>
      </c>
      <c r="D57" s="58" t="s">
        <v>66</v>
      </c>
      <c r="E57" s="58" t="s">
        <v>63</v>
      </c>
      <c r="F57" s="58" t="s">
        <v>91</v>
      </c>
      <c r="G57" s="58" t="s">
        <v>51</v>
      </c>
      <c r="H57" s="61" t="n">
        <v>2</v>
      </c>
      <c r="I57" s="62" t="n">
        <v>195300</v>
      </c>
      <c r="J57" s="63" t="n">
        <f aca="false">H57*I57</f>
        <v>390600</v>
      </c>
      <c r="K57" s="64" t="n">
        <v>0.05</v>
      </c>
      <c r="L57" s="63" t="n">
        <f aca="false">J57*(1-K57)</f>
        <v>371070</v>
      </c>
      <c r="M57" s="62" t="n">
        <v>274591.8</v>
      </c>
      <c r="N57" s="63" t="n">
        <f aca="false">L57-M57</f>
        <v>96478.2</v>
      </c>
      <c r="O57" s="65" t="n">
        <f aca="false">IF(L57=0,0,N57/L57)</f>
        <v>0.26</v>
      </c>
      <c r="P57" s="63" t="n">
        <f aca="false">J57-L57</f>
        <v>19530</v>
      </c>
      <c r="Q57" s="66" t="n">
        <v>4</v>
      </c>
      <c r="R57" s="67" t="str">
        <f aca="false">IF(L57&gt;='What-If Lab'!$C$8,"Large",IF(L57&gt;='What-If Lab'!$C$9,"Medium","Small"))</f>
        <v>Small</v>
      </c>
    </row>
    <row r="58" customFormat="false" ht="15" hidden="false" customHeight="false" outlineLevel="0" collapsed="false">
      <c r="A58" s="58" t="s">
        <v>200</v>
      </c>
      <c r="B58" s="59" t="n">
        <v>46224</v>
      </c>
      <c r="C58" s="60" t="n">
        <f aca="false">MONTH(B58)</f>
        <v>7</v>
      </c>
      <c r="D58" s="58" t="s">
        <v>64</v>
      </c>
      <c r="E58" s="58" t="s">
        <v>61</v>
      </c>
      <c r="F58" s="58" t="s">
        <v>91</v>
      </c>
      <c r="G58" s="58" t="s">
        <v>45</v>
      </c>
      <c r="H58" s="61" t="n">
        <v>4</v>
      </c>
      <c r="I58" s="62" t="n">
        <v>540700</v>
      </c>
      <c r="J58" s="63" t="n">
        <f aca="false">H58*I58</f>
        <v>2162800</v>
      </c>
      <c r="K58" s="64" t="n">
        <v>0.05</v>
      </c>
      <c r="L58" s="63" t="n">
        <f aca="false">J58*(1-K58)</f>
        <v>2054660</v>
      </c>
      <c r="M58" s="62" t="n">
        <v>1561541.6</v>
      </c>
      <c r="N58" s="63" t="n">
        <f aca="false">L58-M58</f>
        <v>493118.4</v>
      </c>
      <c r="O58" s="65" t="n">
        <f aca="false">IF(L58=0,0,N58/L58)</f>
        <v>0.24</v>
      </c>
      <c r="P58" s="63" t="n">
        <f aca="false">J58-L58</f>
        <v>108140</v>
      </c>
      <c r="Q58" s="66" t="n">
        <v>3.8</v>
      </c>
      <c r="R58" s="67" t="str">
        <f aca="false">IF(L58&gt;='What-If Lab'!$C$8,"Large",IF(L58&gt;='What-If Lab'!$C$9,"Medium","Small"))</f>
        <v>Large</v>
      </c>
    </row>
    <row r="59" customFormat="false" ht="15" hidden="false" customHeight="false" outlineLevel="0" collapsed="false">
      <c r="A59" s="58" t="s">
        <v>201</v>
      </c>
      <c r="B59" s="59" t="n">
        <v>46207</v>
      </c>
      <c r="C59" s="60" t="n">
        <f aca="false">MONTH(B59)</f>
        <v>7</v>
      </c>
      <c r="D59" s="58" t="s">
        <v>64</v>
      </c>
      <c r="E59" s="58" t="s">
        <v>65</v>
      </c>
      <c r="F59" s="58" t="s">
        <v>91</v>
      </c>
      <c r="G59" s="58" t="s">
        <v>45</v>
      </c>
      <c r="H59" s="61" t="n">
        <v>4</v>
      </c>
      <c r="I59" s="62" t="n">
        <v>506000</v>
      </c>
      <c r="J59" s="63" t="n">
        <f aca="false">H59*I59</f>
        <v>2024000</v>
      </c>
      <c r="K59" s="64" t="n">
        <v>0.05</v>
      </c>
      <c r="L59" s="63" t="n">
        <f aca="false">J59*(1-K59)</f>
        <v>1922800</v>
      </c>
      <c r="M59" s="62" t="n">
        <v>1461328</v>
      </c>
      <c r="N59" s="63" t="n">
        <f aca="false">L59-M59</f>
        <v>461472</v>
      </c>
      <c r="O59" s="65" t="n">
        <f aca="false">IF(L59=0,0,N59/L59)</f>
        <v>0.24</v>
      </c>
      <c r="P59" s="63" t="n">
        <f aca="false">J59-L59</f>
        <v>101200</v>
      </c>
      <c r="Q59" s="66" t="n">
        <v>5</v>
      </c>
      <c r="R59" s="67" t="str">
        <f aca="false">IF(L59&gt;='What-If Lab'!$C$8,"Large",IF(L59&gt;='What-If Lab'!$C$9,"Medium","Small"))</f>
        <v>Large</v>
      </c>
    </row>
    <row r="60" customFormat="false" ht="15" hidden="false" customHeight="false" outlineLevel="0" collapsed="false">
      <c r="A60" s="58" t="s">
        <v>202</v>
      </c>
      <c r="B60" s="59" t="n">
        <v>46177</v>
      </c>
      <c r="C60" s="60" t="n">
        <f aca="false">MONTH(B60)</f>
        <v>6</v>
      </c>
      <c r="D60" s="58" t="s">
        <v>58</v>
      </c>
      <c r="E60" s="58" t="s">
        <v>61</v>
      </c>
      <c r="F60" s="58" t="s">
        <v>90</v>
      </c>
      <c r="G60" s="58" t="s">
        <v>49</v>
      </c>
      <c r="H60" s="61" t="n">
        <v>5</v>
      </c>
      <c r="I60" s="62" t="n">
        <v>313500</v>
      </c>
      <c r="J60" s="63" t="n">
        <f aca="false">H60*I60</f>
        <v>1567500</v>
      </c>
      <c r="K60" s="64" t="n">
        <v>0</v>
      </c>
      <c r="L60" s="63" t="n">
        <f aca="false">J60*(1-K60)</f>
        <v>1567500</v>
      </c>
      <c r="M60" s="62" t="n">
        <v>1222650</v>
      </c>
      <c r="N60" s="63" t="n">
        <f aca="false">L60-M60</f>
        <v>344850</v>
      </c>
      <c r="O60" s="65" t="n">
        <f aca="false">IF(L60=0,0,N60/L60)</f>
        <v>0.22</v>
      </c>
      <c r="P60" s="63" t="n">
        <f aca="false">J60-L60</f>
        <v>0</v>
      </c>
      <c r="Q60" s="66" t="n">
        <v>4.2</v>
      </c>
      <c r="R60" s="67" t="str">
        <f aca="false">IF(L60&gt;='What-If Lab'!$C$8,"Large",IF(L60&gt;='What-If Lab'!$C$9,"Medium","Small"))</f>
        <v>Large</v>
      </c>
    </row>
    <row r="61" customFormat="false" ht="15" hidden="false" customHeight="false" outlineLevel="0" collapsed="false">
      <c r="A61" s="58" t="s">
        <v>203</v>
      </c>
      <c r="B61" s="59" t="n">
        <v>46171</v>
      </c>
      <c r="C61" s="60" t="n">
        <f aca="false">MONTH(B61)</f>
        <v>5</v>
      </c>
      <c r="D61" s="58" t="s">
        <v>62</v>
      </c>
      <c r="E61" s="58" t="s">
        <v>59</v>
      </c>
      <c r="F61" s="58" t="s">
        <v>90</v>
      </c>
      <c r="G61" s="58" t="s">
        <v>45</v>
      </c>
      <c r="H61" s="61" t="n">
        <v>1</v>
      </c>
      <c r="I61" s="62" t="n">
        <v>494600</v>
      </c>
      <c r="J61" s="63" t="n">
        <f aca="false">H61*I61</f>
        <v>494600</v>
      </c>
      <c r="K61" s="64" t="n">
        <v>0.05</v>
      </c>
      <c r="L61" s="63" t="n">
        <f aca="false">J61*(1-K61)</f>
        <v>469870</v>
      </c>
      <c r="M61" s="62" t="n">
        <v>357101.2</v>
      </c>
      <c r="N61" s="63" t="n">
        <f aca="false">L61-M61</f>
        <v>112768.8</v>
      </c>
      <c r="O61" s="65" t="n">
        <f aca="false">IF(L61=0,0,N61/L61)</f>
        <v>0.24</v>
      </c>
      <c r="P61" s="63" t="n">
        <f aca="false">J61-L61</f>
        <v>24730</v>
      </c>
      <c r="Q61" s="66" t="n">
        <v>3.9</v>
      </c>
      <c r="R61" s="67" t="str">
        <f aca="false">IF(L61&gt;='What-If Lab'!$C$8,"Large",IF(L61&gt;='What-If Lab'!$C$9,"Medium","Small"))</f>
        <v>Small</v>
      </c>
    </row>
    <row r="62" customFormat="false" ht="15" hidden="false" customHeight="false" outlineLevel="0" collapsed="false">
      <c r="A62" s="58" t="s">
        <v>204</v>
      </c>
      <c r="B62" s="59" t="n">
        <v>46277</v>
      </c>
      <c r="C62" s="60" t="n">
        <f aca="false">MONTH(B62)</f>
        <v>9</v>
      </c>
      <c r="D62" s="58" t="s">
        <v>66</v>
      </c>
      <c r="E62" s="58" t="s">
        <v>59</v>
      </c>
      <c r="F62" s="58" t="s">
        <v>91</v>
      </c>
      <c r="G62" s="58" t="s">
        <v>49</v>
      </c>
      <c r="H62" s="61" t="n">
        <v>1</v>
      </c>
      <c r="I62" s="62" t="n">
        <v>333600</v>
      </c>
      <c r="J62" s="63" t="n">
        <f aca="false">H62*I62</f>
        <v>333600</v>
      </c>
      <c r="K62" s="64" t="n">
        <v>0</v>
      </c>
      <c r="L62" s="63" t="n">
        <f aca="false">J62*(1-K62)</f>
        <v>333600</v>
      </c>
      <c r="M62" s="62" t="n">
        <v>260208</v>
      </c>
      <c r="N62" s="63" t="n">
        <f aca="false">L62-M62</f>
        <v>73392</v>
      </c>
      <c r="O62" s="65" t="n">
        <f aca="false">IF(L62=0,0,N62/L62)</f>
        <v>0.22</v>
      </c>
      <c r="P62" s="63" t="n">
        <f aca="false">J62-L62</f>
        <v>0</v>
      </c>
      <c r="Q62" s="66" t="n">
        <v>3.8</v>
      </c>
      <c r="R62" s="67" t="str">
        <f aca="false">IF(L62&gt;='What-If Lab'!$C$8,"Large",IF(L62&gt;='What-If Lab'!$C$9,"Medium","Small"))</f>
        <v>Small</v>
      </c>
    </row>
    <row r="63" customFormat="false" ht="15" hidden="false" customHeight="false" outlineLevel="0" collapsed="false">
      <c r="A63" s="58" t="s">
        <v>205</v>
      </c>
      <c r="B63" s="59" t="n">
        <v>46216</v>
      </c>
      <c r="C63" s="60" t="n">
        <f aca="false">MONTH(B63)</f>
        <v>7</v>
      </c>
      <c r="D63" s="58" t="s">
        <v>66</v>
      </c>
      <c r="E63" s="58" t="s">
        <v>65</v>
      </c>
      <c r="F63" s="58" t="s">
        <v>92</v>
      </c>
      <c r="G63" s="58" t="s">
        <v>43</v>
      </c>
      <c r="H63" s="61" t="n">
        <v>1</v>
      </c>
      <c r="I63" s="62" t="n">
        <v>68900</v>
      </c>
      <c r="J63" s="63" t="n">
        <f aca="false">H63*I63</f>
        <v>68900</v>
      </c>
      <c r="K63" s="64" t="n">
        <v>0.1</v>
      </c>
      <c r="L63" s="63" t="n">
        <f aca="false">J63*(1-K63)</f>
        <v>62010</v>
      </c>
      <c r="M63" s="62" t="n">
        <v>38446.2</v>
      </c>
      <c r="N63" s="63" t="n">
        <f aca="false">L63-M63</f>
        <v>23563.8</v>
      </c>
      <c r="O63" s="65" t="n">
        <f aca="false">IF(L63=0,0,N63/L63)</f>
        <v>0.38</v>
      </c>
      <c r="P63" s="63" t="n">
        <f aca="false">J63-L63</f>
        <v>6890</v>
      </c>
      <c r="Q63" s="66" t="n">
        <v>4.1</v>
      </c>
      <c r="R63" s="67" t="str">
        <f aca="false">IF(L63&gt;='What-If Lab'!$C$8,"Large",IF(L63&gt;='What-If Lab'!$C$9,"Medium","Small"))</f>
        <v>Small</v>
      </c>
    </row>
    <row r="64" customFormat="false" ht="15" hidden="false" customHeight="false" outlineLevel="0" collapsed="false">
      <c r="A64" s="58" t="s">
        <v>206</v>
      </c>
      <c r="B64" s="59" t="n">
        <v>46223</v>
      </c>
      <c r="C64" s="60" t="n">
        <f aca="false">MONTH(B64)</f>
        <v>7</v>
      </c>
      <c r="D64" s="58" t="s">
        <v>66</v>
      </c>
      <c r="E64" s="58" t="s">
        <v>59</v>
      </c>
      <c r="F64" s="58" t="s">
        <v>91</v>
      </c>
      <c r="G64" s="58" t="s">
        <v>51</v>
      </c>
      <c r="H64" s="61" t="n">
        <v>2</v>
      </c>
      <c r="I64" s="62" t="n">
        <v>211000</v>
      </c>
      <c r="J64" s="63" t="n">
        <f aca="false">H64*I64</f>
        <v>422000</v>
      </c>
      <c r="K64" s="64" t="n">
        <v>0</v>
      </c>
      <c r="L64" s="63" t="n">
        <f aca="false">J64*(1-K64)</f>
        <v>422000</v>
      </c>
      <c r="M64" s="62" t="n">
        <v>312280</v>
      </c>
      <c r="N64" s="63" t="n">
        <f aca="false">L64-M64</f>
        <v>109720</v>
      </c>
      <c r="O64" s="65" t="n">
        <f aca="false">IF(L64=0,0,N64/L64)</f>
        <v>0.26</v>
      </c>
      <c r="P64" s="63" t="n">
        <f aca="false">J64-L64</f>
        <v>0</v>
      </c>
      <c r="Q64" s="66" t="n">
        <v>4.6</v>
      </c>
      <c r="R64" s="67" t="str">
        <f aca="false">IF(L64&gt;='What-If Lab'!$C$8,"Large",IF(L64&gt;='What-If Lab'!$C$9,"Medium","Small"))</f>
        <v>Small</v>
      </c>
    </row>
    <row r="65" customFormat="false" ht="15" hidden="false" customHeight="false" outlineLevel="0" collapsed="false">
      <c r="A65" s="58" t="s">
        <v>207</v>
      </c>
      <c r="B65" s="59" t="n">
        <v>46044</v>
      </c>
      <c r="C65" s="60" t="n">
        <f aca="false">MONTH(B65)</f>
        <v>1</v>
      </c>
      <c r="D65" s="58" t="s">
        <v>62</v>
      </c>
      <c r="E65" s="58" t="s">
        <v>61</v>
      </c>
      <c r="F65" s="58" t="s">
        <v>92</v>
      </c>
      <c r="G65" s="58" t="s">
        <v>49</v>
      </c>
      <c r="H65" s="61" t="n">
        <v>5</v>
      </c>
      <c r="I65" s="62" t="n">
        <v>321400</v>
      </c>
      <c r="J65" s="63" t="n">
        <f aca="false">H65*I65</f>
        <v>1607000</v>
      </c>
      <c r="K65" s="64" t="n">
        <v>0</v>
      </c>
      <c r="L65" s="63" t="n">
        <f aca="false">J65*(1-K65)</f>
        <v>1607000</v>
      </c>
      <c r="M65" s="62" t="n">
        <v>1253460</v>
      </c>
      <c r="N65" s="63" t="n">
        <f aca="false">L65-M65</f>
        <v>353540</v>
      </c>
      <c r="O65" s="65" t="n">
        <f aca="false">IF(L65=0,0,N65/L65)</f>
        <v>0.22</v>
      </c>
      <c r="P65" s="63" t="n">
        <f aca="false">J65-L65</f>
        <v>0</v>
      </c>
      <c r="Q65" s="66" t="n">
        <v>3.7</v>
      </c>
      <c r="R65" s="67" t="str">
        <f aca="false">IF(L65&gt;='What-If Lab'!$C$8,"Large",IF(L65&gt;='What-If Lab'!$C$9,"Medium","Small"))</f>
        <v>Large</v>
      </c>
    </row>
    <row r="66" customFormat="false" ht="15" hidden="false" customHeight="false" outlineLevel="0" collapsed="false">
      <c r="A66" s="58" t="s">
        <v>208</v>
      </c>
      <c r="B66" s="59" t="n">
        <v>46223</v>
      </c>
      <c r="C66" s="60" t="n">
        <f aca="false">MONTH(B66)</f>
        <v>7</v>
      </c>
      <c r="D66" s="58" t="s">
        <v>58</v>
      </c>
      <c r="E66" s="58" t="s">
        <v>63</v>
      </c>
      <c r="F66" s="58" t="s">
        <v>92</v>
      </c>
      <c r="G66" s="58" t="s">
        <v>49</v>
      </c>
      <c r="H66" s="61" t="n">
        <v>3</v>
      </c>
      <c r="I66" s="62" t="n">
        <v>329600</v>
      </c>
      <c r="J66" s="63" t="n">
        <f aca="false">H66*I66</f>
        <v>988800</v>
      </c>
      <c r="K66" s="64" t="n">
        <v>0.03</v>
      </c>
      <c r="L66" s="63" t="n">
        <f aca="false">J66*(1-K66)</f>
        <v>959136</v>
      </c>
      <c r="M66" s="62" t="n">
        <v>748126.08</v>
      </c>
      <c r="N66" s="63" t="n">
        <f aca="false">L66-M66</f>
        <v>211009.92</v>
      </c>
      <c r="O66" s="65" t="n">
        <f aca="false">IF(L66=0,0,N66/L66)</f>
        <v>0.22</v>
      </c>
      <c r="P66" s="63" t="n">
        <f aca="false">J66-L66</f>
        <v>29664</v>
      </c>
      <c r="Q66" s="66" t="n">
        <v>3.5</v>
      </c>
      <c r="R66" s="67" t="str">
        <f aca="false">IF(L66&gt;='What-If Lab'!$C$8,"Large",IF(L66&gt;='What-If Lab'!$C$9,"Medium","Small"))</f>
        <v>Medium</v>
      </c>
    </row>
    <row r="67" customFormat="false" ht="15" hidden="false" customHeight="false" outlineLevel="0" collapsed="false">
      <c r="A67" s="58" t="s">
        <v>209</v>
      </c>
      <c r="B67" s="59" t="n">
        <v>46239</v>
      </c>
      <c r="C67" s="60" t="n">
        <f aca="false">MONTH(B67)</f>
        <v>8</v>
      </c>
      <c r="D67" s="58" t="s">
        <v>60</v>
      </c>
      <c r="E67" s="58" t="s">
        <v>59</v>
      </c>
      <c r="F67" s="58" t="s">
        <v>91</v>
      </c>
      <c r="G67" s="58" t="s">
        <v>47</v>
      </c>
      <c r="H67" s="61" t="n">
        <v>5</v>
      </c>
      <c r="I67" s="62" t="n">
        <v>186100</v>
      </c>
      <c r="J67" s="63" t="n">
        <f aca="false">H67*I67</f>
        <v>930500</v>
      </c>
      <c r="K67" s="64" t="n">
        <v>0.08</v>
      </c>
      <c r="L67" s="63" t="n">
        <f aca="false">J67*(1-K67)</f>
        <v>856060</v>
      </c>
      <c r="M67" s="62" t="n">
        <v>599242</v>
      </c>
      <c r="N67" s="63" t="n">
        <f aca="false">L67-M67</f>
        <v>256818</v>
      </c>
      <c r="O67" s="65" t="n">
        <f aca="false">IF(L67=0,0,N67/L67)</f>
        <v>0.3</v>
      </c>
      <c r="P67" s="63" t="n">
        <f aca="false">J67-L67</f>
        <v>74440</v>
      </c>
      <c r="Q67" s="66" t="n">
        <v>4.7</v>
      </c>
      <c r="R67" s="67" t="str">
        <f aca="false">IF(L67&gt;='What-If Lab'!$C$8,"Large",IF(L67&gt;='What-If Lab'!$C$9,"Medium","Small"))</f>
        <v>Medium</v>
      </c>
    </row>
    <row r="68" customFormat="false" ht="15" hidden="false" customHeight="false" outlineLevel="0" collapsed="false">
      <c r="A68" s="58" t="s">
        <v>210</v>
      </c>
      <c r="B68" s="59" t="n">
        <v>46173</v>
      </c>
      <c r="C68" s="60" t="n">
        <f aca="false">MONTH(B68)</f>
        <v>5</v>
      </c>
      <c r="D68" s="58" t="s">
        <v>62</v>
      </c>
      <c r="E68" s="58" t="s">
        <v>59</v>
      </c>
      <c r="F68" s="58" t="s">
        <v>91</v>
      </c>
      <c r="G68" s="58" t="s">
        <v>43</v>
      </c>
      <c r="H68" s="61" t="n">
        <v>1</v>
      </c>
      <c r="I68" s="62" t="n">
        <v>59600</v>
      </c>
      <c r="J68" s="63" t="n">
        <f aca="false">H68*I68</f>
        <v>59600</v>
      </c>
      <c r="K68" s="64" t="n">
        <v>0.08</v>
      </c>
      <c r="L68" s="63" t="n">
        <f aca="false">J68*(1-K68)</f>
        <v>54832</v>
      </c>
      <c r="M68" s="62" t="n">
        <v>33995.84</v>
      </c>
      <c r="N68" s="63" t="n">
        <f aca="false">L68-M68</f>
        <v>20836.16</v>
      </c>
      <c r="O68" s="65" t="n">
        <f aca="false">IF(L68=0,0,N68/L68)</f>
        <v>0.38</v>
      </c>
      <c r="P68" s="63" t="n">
        <f aca="false">J68-L68</f>
        <v>4768</v>
      </c>
      <c r="Q68" s="66" t="n">
        <v>4.2</v>
      </c>
      <c r="R68" s="67" t="str">
        <f aca="false">IF(L68&gt;='What-If Lab'!$C$8,"Large",IF(L68&gt;='What-If Lab'!$C$9,"Medium","Small"))</f>
        <v>Small</v>
      </c>
    </row>
    <row r="69" customFormat="false" ht="15" hidden="false" customHeight="false" outlineLevel="0" collapsed="false">
      <c r="A69" s="58" t="s">
        <v>211</v>
      </c>
      <c r="B69" s="59" t="n">
        <v>46203</v>
      </c>
      <c r="C69" s="60" t="n">
        <f aca="false">MONTH(B69)</f>
        <v>6</v>
      </c>
      <c r="D69" s="58" t="s">
        <v>64</v>
      </c>
      <c r="E69" s="58" t="s">
        <v>63</v>
      </c>
      <c r="F69" s="58" t="s">
        <v>91</v>
      </c>
      <c r="G69" s="58" t="s">
        <v>49</v>
      </c>
      <c r="H69" s="61" t="n">
        <v>2</v>
      </c>
      <c r="I69" s="62" t="n">
        <v>322300</v>
      </c>
      <c r="J69" s="63" t="n">
        <f aca="false">H69*I69</f>
        <v>644600</v>
      </c>
      <c r="K69" s="64" t="n">
        <v>0.05</v>
      </c>
      <c r="L69" s="63" t="n">
        <f aca="false">J69*(1-K69)</f>
        <v>612370</v>
      </c>
      <c r="M69" s="62" t="n">
        <v>477648.6</v>
      </c>
      <c r="N69" s="63" t="n">
        <f aca="false">L69-M69</f>
        <v>134721.4</v>
      </c>
      <c r="O69" s="65" t="n">
        <f aca="false">IF(L69=0,0,N69/L69)</f>
        <v>0.22</v>
      </c>
      <c r="P69" s="63" t="n">
        <f aca="false">J69-L69</f>
        <v>32230</v>
      </c>
      <c r="Q69" s="66" t="n">
        <v>4.6</v>
      </c>
      <c r="R69" s="67" t="str">
        <f aca="false">IF(L69&gt;='What-If Lab'!$C$8,"Large",IF(L69&gt;='What-If Lab'!$C$9,"Medium","Small"))</f>
        <v>Medium</v>
      </c>
    </row>
    <row r="70" customFormat="false" ht="15" hidden="false" customHeight="false" outlineLevel="0" collapsed="false">
      <c r="A70" s="58" t="s">
        <v>212</v>
      </c>
      <c r="B70" s="59" t="n">
        <v>46118</v>
      </c>
      <c r="C70" s="60" t="n">
        <f aca="false">MONTH(B70)</f>
        <v>4</v>
      </c>
      <c r="D70" s="58" t="s">
        <v>60</v>
      </c>
      <c r="E70" s="58" t="s">
        <v>61</v>
      </c>
      <c r="F70" s="58" t="s">
        <v>90</v>
      </c>
      <c r="G70" s="58" t="s">
        <v>49</v>
      </c>
      <c r="H70" s="61" t="n">
        <v>4</v>
      </c>
      <c r="I70" s="62" t="n">
        <v>300200</v>
      </c>
      <c r="J70" s="63" t="n">
        <f aca="false">H70*I70</f>
        <v>1200800</v>
      </c>
      <c r="K70" s="64" t="n">
        <v>0.08</v>
      </c>
      <c r="L70" s="63" t="n">
        <f aca="false">J70*(1-K70)</f>
        <v>1104736</v>
      </c>
      <c r="M70" s="62" t="n">
        <v>861694.08</v>
      </c>
      <c r="N70" s="63" t="n">
        <f aca="false">L70-M70</f>
        <v>243041.92</v>
      </c>
      <c r="O70" s="65" t="n">
        <f aca="false">IF(L70=0,0,N70/L70)</f>
        <v>0.22</v>
      </c>
      <c r="P70" s="63" t="n">
        <f aca="false">J70-L70</f>
        <v>96064</v>
      </c>
      <c r="Q70" s="66" t="n">
        <v>4.8</v>
      </c>
      <c r="R70" s="67" t="str">
        <f aca="false">IF(L70&gt;='What-If Lab'!$C$8,"Large",IF(L70&gt;='What-If Lab'!$C$9,"Medium","Small"))</f>
        <v>Medium</v>
      </c>
    </row>
    <row r="71" customFormat="false" ht="15" hidden="false" customHeight="false" outlineLevel="0" collapsed="false">
      <c r="A71" s="58" t="s">
        <v>213</v>
      </c>
      <c r="B71" s="59" t="n">
        <v>46108</v>
      </c>
      <c r="C71" s="60" t="n">
        <f aca="false">MONTH(B71)</f>
        <v>3</v>
      </c>
      <c r="D71" s="58" t="s">
        <v>58</v>
      </c>
      <c r="E71" s="58" t="s">
        <v>65</v>
      </c>
      <c r="F71" s="58" t="s">
        <v>91</v>
      </c>
      <c r="G71" s="58" t="s">
        <v>51</v>
      </c>
      <c r="H71" s="61" t="n">
        <v>4</v>
      </c>
      <c r="I71" s="62" t="n">
        <v>194100</v>
      </c>
      <c r="J71" s="63" t="n">
        <f aca="false">H71*I71</f>
        <v>776400</v>
      </c>
      <c r="K71" s="64" t="n">
        <v>0.03</v>
      </c>
      <c r="L71" s="63" t="n">
        <f aca="false">J71*(1-K71)</f>
        <v>753108</v>
      </c>
      <c r="M71" s="62" t="n">
        <v>557299.92</v>
      </c>
      <c r="N71" s="63" t="n">
        <f aca="false">L71-M71</f>
        <v>195808.08</v>
      </c>
      <c r="O71" s="65" t="n">
        <f aca="false">IF(L71=0,0,N71/L71)</f>
        <v>0.26</v>
      </c>
      <c r="P71" s="63" t="n">
        <f aca="false">J71-L71</f>
        <v>23292</v>
      </c>
      <c r="Q71" s="66" t="n">
        <v>4.3</v>
      </c>
      <c r="R71" s="67" t="str">
        <f aca="false">IF(L71&gt;='What-If Lab'!$C$8,"Large",IF(L71&gt;='What-If Lab'!$C$9,"Medium","Small"))</f>
        <v>Medium</v>
      </c>
    </row>
    <row r="72" customFormat="false" ht="15" hidden="false" customHeight="false" outlineLevel="0" collapsed="false">
      <c r="A72" s="58" t="s">
        <v>214</v>
      </c>
      <c r="B72" s="59" t="n">
        <v>46122</v>
      </c>
      <c r="C72" s="60" t="n">
        <f aca="false">MONTH(B72)</f>
        <v>4</v>
      </c>
      <c r="D72" s="58" t="s">
        <v>64</v>
      </c>
      <c r="E72" s="58" t="s">
        <v>61</v>
      </c>
      <c r="F72" s="58" t="s">
        <v>90</v>
      </c>
      <c r="G72" s="58" t="s">
        <v>51</v>
      </c>
      <c r="H72" s="61" t="n">
        <v>5</v>
      </c>
      <c r="I72" s="62" t="n">
        <v>189600</v>
      </c>
      <c r="J72" s="63" t="n">
        <f aca="false">H72*I72</f>
        <v>948000</v>
      </c>
      <c r="K72" s="64" t="n">
        <v>0.05</v>
      </c>
      <c r="L72" s="63" t="n">
        <f aca="false">J72*(1-K72)</f>
        <v>900600</v>
      </c>
      <c r="M72" s="62" t="n">
        <v>666444</v>
      </c>
      <c r="N72" s="63" t="n">
        <f aca="false">L72-M72</f>
        <v>234156</v>
      </c>
      <c r="O72" s="65" t="n">
        <f aca="false">IF(L72=0,0,N72/L72)</f>
        <v>0.26</v>
      </c>
      <c r="P72" s="63" t="n">
        <f aca="false">J72-L72</f>
        <v>47400</v>
      </c>
      <c r="Q72" s="66" t="n">
        <v>3.8</v>
      </c>
      <c r="R72" s="67" t="str">
        <f aca="false">IF(L72&gt;='What-If Lab'!$C$8,"Large",IF(L72&gt;='What-If Lab'!$C$9,"Medium","Small"))</f>
        <v>Medium</v>
      </c>
    </row>
    <row r="73" customFormat="false" ht="15" hidden="false" customHeight="false" outlineLevel="0" collapsed="false">
      <c r="A73" s="58" t="s">
        <v>215</v>
      </c>
      <c r="B73" s="59" t="n">
        <v>46274</v>
      </c>
      <c r="C73" s="60" t="n">
        <f aca="false">MONTH(B73)</f>
        <v>9</v>
      </c>
      <c r="D73" s="58" t="s">
        <v>58</v>
      </c>
      <c r="E73" s="58" t="s">
        <v>63</v>
      </c>
      <c r="F73" s="58" t="s">
        <v>92</v>
      </c>
      <c r="G73" s="58" t="s">
        <v>51</v>
      </c>
      <c r="H73" s="61" t="n">
        <v>4</v>
      </c>
      <c r="I73" s="62" t="n">
        <v>222000</v>
      </c>
      <c r="J73" s="63" t="n">
        <f aca="false">H73*I73</f>
        <v>888000</v>
      </c>
      <c r="K73" s="64" t="n">
        <v>0.1</v>
      </c>
      <c r="L73" s="63" t="n">
        <f aca="false">J73*(1-K73)</f>
        <v>799200</v>
      </c>
      <c r="M73" s="62" t="n">
        <v>591408</v>
      </c>
      <c r="N73" s="63" t="n">
        <f aca="false">L73-M73</f>
        <v>207792</v>
      </c>
      <c r="O73" s="65" t="n">
        <f aca="false">IF(L73=0,0,N73/L73)</f>
        <v>0.26</v>
      </c>
      <c r="P73" s="63" t="n">
        <f aca="false">J73-L73</f>
        <v>88800</v>
      </c>
      <c r="Q73" s="66" t="n">
        <v>3.8</v>
      </c>
      <c r="R73" s="67" t="str">
        <f aca="false">IF(L73&gt;='What-If Lab'!$C$8,"Large",IF(L73&gt;='What-If Lab'!$C$9,"Medium","Small"))</f>
        <v>Medium</v>
      </c>
    </row>
    <row r="74" customFormat="false" ht="15" hidden="false" customHeight="false" outlineLevel="0" collapsed="false">
      <c r="A74" s="58" t="s">
        <v>216</v>
      </c>
      <c r="B74" s="59" t="n">
        <v>46111</v>
      </c>
      <c r="C74" s="60" t="n">
        <f aca="false">MONTH(B74)</f>
        <v>3</v>
      </c>
      <c r="D74" s="58" t="s">
        <v>62</v>
      </c>
      <c r="E74" s="58" t="s">
        <v>59</v>
      </c>
      <c r="F74" s="58" t="s">
        <v>91</v>
      </c>
      <c r="G74" s="58" t="s">
        <v>45</v>
      </c>
      <c r="H74" s="61" t="n">
        <v>3</v>
      </c>
      <c r="I74" s="62" t="n">
        <v>469600</v>
      </c>
      <c r="J74" s="63" t="n">
        <f aca="false">H74*I74</f>
        <v>1408800</v>
      </c>
      <c r="K74" s="64" t="n">
        <v>0</v>
      </c>
      <c r="L74" s="63" t="n">
        <f aca="false">J74*(1-K74)</f>
        <v>1408800</v>
      </c>
      <c r="M74" s="62" t="n">
        <v>1070688</v>
      </c>
      <c r="N74" s="63" t="n">
        <f aca="false">L74-M74</f>
        <v>338112</v>
      </c>
      <c r="O74" s="65" t="n">
        <f aca="false">IF(L74=0,0,N74/L74)</f>
        <v>0.24</v>
      </c>
      <c r="P74" s="63" t="n">
        <f aca="false">J74-L74</f>
        <v>0</v>
      </c>
      <c r="Q74" s="66" t="n">
        <v>2.7</v>
      </c>
      <c r="R74" s="67" t="str">
        <f aca="false">IF(L74&gt;='What-If Lab'!$C$8,"Large",IF(L74&gt;='What-If Lab'!$C$9,"Medium","Small"))</f>
        <v>Medium</v>
      </c>
    </row>
    <row r="75" customFormat="false" ht="15" hidden="false" customHeight="false" outlineLevel="0" collapsed="false">
      <c r="A75" s="58" t="s">
        <v>217</v>
      </c>
      <c r="B75" s="59" t="n">
        <v>46093</v>
      </c>
      <c r="C75" s="60" t="n">
        <f aca="false">MONTH(B75)</f>
        <v>3</v>
      </c>
      <c r="D75" s="58" t="s">
        <v>66</v>
      </c>
      <c r="E75" s="58" t="s">
        <v>59</v>
      </c>
      <c r="F75" s="58" t="s">
        <v>90</v>
      </c>
      <c r="G75" s="58" t="s">
        <v>49</v>
      </c>
      <c r="H75" s="61" t="n">
        <v>1</v>
      </c>
      <c r="I75" s="62" t="n">
        <v>308600</v>
      </c>
      <c r="J75" s="63" t="n">
        <f aca="false">H75*I75</f>
        <v>308600</v>
      </c>
      <c r="K75" s="64" t="n">
        <v>0.03</v>
      </c>
      <c r="L75" s="63" t="n">
        <f aca="false">J75*(1-K75)</f>
        <v>299342</v>
      </c>
      <c r="M75" s="62" t="n">
        <v>233486.76</v>
      </c>
      <c r="N75" s="63" t="n">
        <f aca="false">L75-M75</f>
        <v>65855.24</v>
      </c>
      <c r="O75" s="65" t="n">
        <f aca="false">IF(L75=0,0,N75/L75)</f>
        <v>0.22</v>
      </c>
      <c r="P75" s="63" t="n">
        <f aca="false">J75-L75</f>
        <v>9258</v>
      </c>
      <c r="Q75" s="66" t="n">
        <v>4.3</v>
      </c>
      <c r="R75" s="67" t="str">
        <f aca="false">IF(L75&gt;='What-If Lab'!$C$8,"Large",IF(L75&gt;='What-If Lab'!$C$9,"Medium","Small"))</f>
        <v>Small</v>
      </c>
    </row>
    <row r="76" customFormat="false" ht="15" hidden="false" customHeight="false" outlineLevel="0" collapsed="false">
      <c r="A76" s="58" t="s">
        <v>218</v>
      </c>
      <c r="B76" s="59" t="n">
        <v>46185</v>
      </c>
      <c r="C76" s="60" t="n">
        <f aca="false">MONTH(B76)</f>
        <v>6</v>
      </c>
      <c r="D76" s="58" t="s">
        <v>58</v>
      </c>
      <c r="E76" s="58" t="s">
        <v>59</v>
      </c>
      <c r="F76" s="58" t="s">
        <v>90</v>
      </c>
      <c r="G76" s="58" t="s">
        <v>45</v>
      </c>
      <c r="H76" s="61" t="n">
        <v>3</v>
      </c>
      <c r="I76" s="62" t="n">
        <v>507300</v>
      </c>
      <c r="J76" s="63" t="n">
        <f aca="false">H76*I76</f>
        <v>1521900</v>
      </c>
      <c r="K76" s="64" t="n">
        <v>0.08</v>
      </c>
      <c r="L76" s="63" t="n">
        <f aca="false">J76*(1-K76)</f>
        <v>1400148</v>
      </c>
      <c r="M76" s="62" t="n">
        <v>1064112.48</v>
      </c>
      <c r="N76" s="63" t="n">
        <f aca="false">L76-M76</f>
        <v>336035.52</v>
      </c>
      <c r="O76" s="65" t="n">
        <f aca="false">IF(L76=0,0,N76/L76)</f>
        <v>0.24</v>
      </c>
      <c r="P76" s="63" t="n">
        <f aca="false">J76-L76</f>
        <v>121752</v>
      </c>
      <c r="Q76" s="66" t="n">
        <v>4</v>
      </c>
      <c r="R76" s="67" t="str">
        <f aca="false">IF(L76&gt;='What-If Lab'!$C$8,"Large",IF(L76&gt;='What-If Lab'!$C$9,"Medium","Small"))</f>
        <v>Medium</v>
      </c>
    </row>
    <row r="77" customFormat="false" ht="15" hidden="false" customHeight="false" outlineLevel="0" collapsed="false">
      <c r="A77" s="58" t="s">
        <v>219</v>
      </c>
      <c r="B77" s="59" t="n">
        <v>46036</v>
      </c>
      <c r="C77" s="60" t="n">
        <f aca="false">MONTH(B77)</f>
        <v>1</v>
      </c>
      <c r="D77" s="58" t="s">
        <v>62</v>
      </c>
      <c r="E77" s="58" t="s">
        <v>61</v>
      </c>
      <c r="F77" s="58" t="s">
        <v>92</v>
      </c>
      <c r="G77" s="58" t="s">
        <v>45</v>
      </c>
      <c r="H77" s="61" t="n">
        <v>1</v>
      </c>
      <c r="I77" s="62" t="n">
        <v>496000</v>
      </c>
      <c r="J77" s="63" t="n">
        <f aca="false">H77*I77</f>
        <v>496000</v>
      </c>
      <c r="K77" s="64" t="n">
        <v>0</v>
      </c>
      <c r="L77" s="63" t="n">
        <f aca="false">J77*(1-K77)</f>
        <v>496000</v>
      </c>
      <c r="M77" s="62" t="n">
        <v>376960</v>
      </c>
      <c r="N77" s="63" t="n">
        <f aca="false">L77-M77</f>
        <v>119040</v>
      </c>
      <c r="O77" s="65" t="n">
        <f aca="false">IF(L77=0,0,N77/L77)</f>
        <v>0.24</v>
      </c>
      <c r="P77" s="63" t="n">
        <f aca="false">J77-L77</f>
        <v>0</v>
      </c>
      <c r="Q77" s="66" t="n">
        <v>4.4</v>
      </c>
      <c r="R77" s="67" t="str">
        <f aca="false">IF(L77&gt;='What-If Lab'!$C$8,"Large",IF(L77&gt;='What-If Lab'!$C$9,"Medium","Small"))</f>
        <v>Small</v>
      </c>
    </row>
    <row r="78" customFormat="false" ht="15" hidden="false" customHeight="false" outlineLevel="0" collapsed="false">
      <c r="A78" s="58" t="s">
        <v>220</v>
      </c>
      <c r="B78" s="59" t="n">
        <v>46248</v>
      </c>
      <c r="C78" s="60" t="n">
        <f aca="false">MONTH(B78)</f>
        <v>8</v>
      </c>
      <c r="D78" s="58" t="s">
        <v>66</v>
      </c>
      <c r="E78" s="58" t="s">
        <v>63</v>
      </c>
      <c r="F78" s="58" t="s">
        <v>90</v>
      </c>
      <c r="G78" s="58" t="s">
        <v>49</v>
      </c>
      <c r="H78" s="61" t="n">
        <v>5</v>
      </c>
      <c r="I78" s="62" t="n">
        <v>334000</v>
      </c>
      <c r="J78" s="63" t="n">
        <f aca="false">H78*I78</f>
        <v>1670000</v>
      </c>
      <c r="K78" s="64" t="n">
        <v>0.05</v>
      </c>
      <c r="L78" s="63" t="n">
        <f aca="false">J78*(1-K78)</f>
        <v>1586500</v>
      </c>
      <c r="M78" s="62" t="n">
        <v>1237470</v>
      </c>
      <c r="N78" s="63" t="n">
        <f aca="false">L78-M78</f>
        <v>349030</v>
      </c>
      <c r="O78" s="65" t="n">
        <f aca="false">IF(L78=0,0,N78/L78)</f>
        <v>0.22</v>
      </c>
      <c r="P78" s="63" t="n">
        <f aca="false">J78-L78</f>
        <v>83500</v>
      </c>
      <c r="Q78" s="66" t="n">
        <v>3.6</v>
      </c>
      <c r="R78" s="67" t="str">
        <f aca="false">IF(L78&gt;='What-If Lab'!$C$8,"Large",IF(L78&gt;='What-If Lab'!$C$9,"Medium","Small"))</f>
        <v>Large</v>
      </c>
    </row>
    <row r="79" customFormat="false" ht="15" hidden="false" customHeight="false" outlineLevel="0" collapsed="false">
      <c r="A79" s="58" t="s">
        <v>221</v>
      </c>
      <c r="B79" s="59" t="n">
        <v>46278</v>
      </c>
      <c r="C79" s="60" t="n">
        <f aca="false">MONTH(B79)</f>
        <v>9</v>
      </c>
      <c r="D79" s="58" t="s">
        <v>60</v>
      </c>
      <c r="E79" s="58" t="s">
        <v>61</v>
      </c>
      <c r="F79" s="58" t="s">
        <v>91</v>
      </c>
      <c r="G79" s="58" t="s">
        <v>45</v>
      </c>
      <c r="H79" s="61" t="n">
        <v>2</v>
      </c>
      <c r="I79" s="62" t="n">
        <v>556700</v>
      </c>
      <c r="J79" s="63" t="n">
        <f aca="false">H79*I79</f>
        <v>1113400</v>
      </c>
      <c r="K79" s="64" t="n">
        <v>0.1</v>
      </c>
      <c r="L79" s="63" t="n">
        <f aca="false">J79*(1-K79)</f>
        <v>1002060</v>
      </c>
      <c r="M79" s="62" t="n">
        <v>761565.6</v>
      </c>
      <c r="N79" s="63" t="n">
        <f aca="false">L79-M79</f>
        <v>240494.4</v>
      </c>
      <c r="O79" s="65" t="n">
        <f aca="false">IF(L79=0,0,N79/L79)</f>
        <v>0.24</v>
      </c>
      <c r="P79" s="63" t="n">
        <f aca="false">J79-L79</f>
        <v>111340</v>
      </c>
      <c r="Q79" s="66" t="n">
        <v>4.1</v>
      </c>
      <c r="R79" s="67" t="str">
        <f aca="false">IF(L79&gt;='What-If Lab'!$C$8,"Large",IF(L79&gt;='What-If Lab'!$C$9,"Medium","Small"))</f>
        <v>Medium</v>
      </c>
    </row>
    <row r="80" customFormat="false" ht="15" hidden="false" customHeight="false" outlineLevel="0" collapsed="false">
      <c r="A80" s="58" t="s">
        <v>222</v>
      </c>
      <c r="B80" s="59" t="n">
        <v>46175</v>
      </c>
      <c r="C80" s="60" t="n">
        <f aca="false">MONTH(B80)</f>
        <v>6</v>
      </c>
      <c r="D80" s="58" t="s">
        <v>60</v>
      </c>
      <c r="E80" s="58" t="s">
        <v>65</v>
      </c>
      <c r="F80" s="58" t="s">
        <v>91</v>
      </c>
      <c r="G80" s="58" t="s">
        <v>43</v>
      </c>
      <c r="H80" s="61" t="n">
        <v>3</v>
      </c>
      <c r="I80" s="62" t="n">
        <v>60800</v>
      </c>
      <c r="J80" s="63" t="n">
        <f aca="false">H80*I80</f>
        <v>182400</v>
      </c>
      <c r="K80" s="64" t="n">
        <v>0.05</v>
      </c>
      <c r="L80" s="63" t="n">
        <f aca="false">J80*(1-K80)</f>
        <v>173280</v>
      </c>
      <c r="M80" s="62" t="n">
        <v>107433.6</v>
      </c>
      <c r="N80" s="63" t="n">
        <f aca="false">L80-M80</f>
        <v>65846.4</v>
      </c>
      <c r="O80" s="65" t="n">
        <f aca="false">IF(L80=0,0,N80/L80)</f>
        <v>0.38</v>
      </c>
      <c r="P80" s="63" t="n">
        <f aca="false">J80-L80</f>
        <v>9120</v>
      </c>
      <c r="Q80" s="66" t="n">
        <v>4.2</v>
      </c>
      <c r="R80" s="67" t="str">
        <f aca="false">IF(L80&gt;='What-If Lab'!$C$8,"Large",IF(L80&gt;='What-If Lab'!$C$9,"Medium","Small"))</f>
        <v>Small</v>
      </c>
    </row>
    <row r="81" customFormat="false" ht="15" hidden="false" customHeight="false" outlineLevel="0" collapsed="false">
      <c r="A81" s="58" t="s">
        <v>223</v>
      </c>
      <c r="B81" s="59" t="n">
        <v>46040</v>
      </c>
      <c r="C81" s="60" t="n">
        <f aca="false">MONTH(B81)</f>
        <v>1</v>
      </c>
      <c r="D81" s="58" t="s">
        <v>66</v>
      </c>
      <c r="E81" s="58" t="s">
        <v>63</v>
      </c>
      <c r="F81" s="58" t="s">
        <v>90</v>
      </c>
      <c r="G81" s="58" t="s">
        <v>47</v>
      </c>
      <c r="H81" s="61" t="n">
        <v>5</v>
      </c>
      <c r="I81" s="62" t="n">
        <v>185400</v>
      </c>
      <c r="J81" s="63" t="n">
        <f aca="false">H81*I81</f>
        <v>927000</v>
      </c>
      <c r="K81" s="64" t="n">
        <v>0.03</v>
      </c>
      <c r="L81" s="63" t="n">
        <f aca="false">J81*(1-K81)</f>
        <v>899190</v>
      </c>
      <c r="M81" s="62" t="n">
        <v>629433</v>
      </c>
      <c r="N81" s="63" t="n">
        <f aca="false">L81-M81</f>
        <v>269757</v>
      </c>
      <c r="O81" s="65" t="n">
        <f aca="false">IF(L81=0,0,N81/L81)</f>
        <v>0.3</v>
      </c>
      <c r="P81" s="63" t="n">
        <f aca="false">J81-L81</f>
        <v>27810</v>
      </c>
      <c r="Q81" s="66" t="n">
        <v>4.1</v>
      </c>
      <c r="R81" s="67" t="str">
        <f aca="false">IF(L81&gt;='What-If Lab'!$C$8,"Large",IF(L81&gt;='What-If Lab'!$C$9,"Medium","Small"))</f>
        <v>Medium</v>
      </c>
    </row>
    <row r="82" customFormat="false" ht="15" hidden="false" customHeight="false" outlineLevel="0" collapsed="false">
      <c r="A82" s="58" t="s">
        <v>224</v>
      </c>
      <c r="B82" s="59" t="n">
        <v>46045</v>
      </c>
      <c r="C82" s="60" t="n">
        <f aca="false">MONTH(B82)</f>
        <v>1</v>
      </c>
      <c r="D82" s="58" t="s">
        <v>66</v>
      </c>
      <c r="E82" s="58" t="s">
        <v>63</v>
      </c>
      <c r="F82" s="58" t="s">
        <v>90</v>
      </c>
      <c r="G82" s="58" t="s">
        <v>43</v>
      </c>
      <c r="H82" s="61" t="n">
        <v>1</v>
      </c>
      <c r="I82" s="62" t="n">
        <v>62800</v>
      </c>
      <c r="J82" s="63" t="n">
        <f aca="false">H82*I82</f>
        <v>62800</v>
      </c>
      <c r="K82" s="64" t="n">
        <v>0</v>
      </c>
      <c r="L82" s="63" t="n">
        <f aca="false">J82*(1-K82)</f>
        <v>62800</v>
      </c>
      <c r="M82" s="62" t="n">
        <v>38936</v>
      </c>
      <c r="N82" s="63" t="n">
        <f aca="false">L82-M82</f>
        <v>23864</v>
      </c>
      <c r="O82" s="65" t="n">
        <f aca="false">IF(L82=0,0,N82/L82)</f>
        <v>0.38</v>
      </c>
      <c r="P82" s="63" t="n">
        <f aca="false">J82-L82</f>
        <v>0</v>
      </c>
      <c r="Q82" s="66" t="n">
        <v>3.3</v>
      </c>
      <c r="R82" s="67" t="str">
        <f aca="false">IF(L82&gt;='What-If Lab'!$C$8,"Large",IF(L82&gt;='What-If Lab'!$C$9,"Medium","Small"))</f>
        <v>Small</v>
      </c>
    </row>
    <row r="83" customFormat="false" ht="15" hidden="false" customHeight="false" outlineLevel="0" collapsed="false">
      <c r="A83" s="58" t="s">
        <v>225</v>
      </c>
      <c r="B83" s="59" t="n">
        <v>46176</v>
      </c>
      <c r="C83" s="60" t="n">
        <f aca="false">MONTH(B83)</f>
        <v>6</v>
      </c>
      <c r="D83" s="58" t="s">
        <v>58</v>
      </c>
      <c r="E83" s="58" t="s">
        <v>59</v>
      </c>
      <c r="F83" s="58" t="s">
        <v>92</v>
      </c>
      <c r="G83" s="58" t="s">
        <v>45</v>
      </c>
      <c r="H83" s="61" t="n">
        <v>4</v>
      </c>
      <c r="I83" s="62" t="n">
        <v>483100</v>
      </c>
      <c r="J83" s="63" t="n">
        <f aca="false">H83*I83</f>
        <v>1932400</v>
      </c>
      <c r="K83" s="64" t="n">
        <v>0.08</v>
      </c>
      <c r="L83" s="63" t="n">
        <f aca="false">J83*(1-K83)</f>
        <v>1777808</v>
      </c>
      <c r="M83" s="62" t="n">
        <v>1351134.08</v>
      </c>
      <c r="N83" s="63" t="n">
        <f aca="false">L83-M83</f>
        <v>426673.92</v>
      </c>
      <c r="O83" s="65" t="n">
        <f aca="false">IF(L83=0,0,N83/L83)</f>
        <v>0.24</v>
      </c>
      <c r="P83" s="63" t="n">
        <f aca="false">J83-L83</f>
        <v>154592</v>
      </c>
      <c r="Q83" s="66" t="n">
        <v>3.3</v>
      </c>
      <c r="R83" s="67" t="str">
        <f aca="false">IF(L83&gt;='What-If Lab'!$C$8,"Large",IF(L83&gt;='What-If Lab'!$C$9,"Medium","Small"))</f>
        <v>Large</v>
      </c>
    </row>
    <row r="84" customFormat="false" ht="15" hidden="false" customHeight="false" outlineLevel="0" collapsed="false">
      <c r="A84" s="58" t="s">
        <v>226</v>
      </c>
      <c r="B84" s="59" t="n">
        <v>46099</v>
      </c>
      <c r="C84" s="60" t="n">
        <f aca="false">MONTH(B84)</f>
        <v>3</v>
      </c>
      <c r="D84" s="58" t="s">
        <v>64</v>
      </c>
      <c r="E84" s="58" t="s">
        <v>59</v>
      </c>
      <c r="F84" s="58" t="s">
        <v>91</v>
      </c>
      <c r="G84" s="58" t="s">
        <v>45</v>
      </c>
      <c r="H84" s="61" t="n">
        <v>3</v>
      </c>
      <c r="I84" s="62" t="n">
        <v>512800</v>
      </c>
      <c r="J84" s="63" t="n">
        <f aca="false">H84*I84</f>
        <v>1538400</v>
      </c>
      <c r="K84" s="64" t="n">
        <v>0.1</v>
      </c>
      <c r="L84" s="63" t="n">
        <f aca="false">J84*(1-K84)</f>
        <v>1384560</v>
      </c>
      <c r="M84" s="62" t="n">
        <v>1052265.6</v>
      </c>
      <c r="N84" s="63" t="n">
        <f aca="false">L84-M84</f>
        <v>332294.4</v>
      </c>
      <c r="O84" s="65" t="n">
        <f aca="false">IF(L84=0,0,N84/L84)</f>
        <v>0.24</v>
      </c>
      <c r="P84" s="63" t="n">
        <f aca="false">J84-L84</f>
        <v>153840</v>
      </c>
      <c r="Q84" s="66" t="n">
        <v>3.6</v>
      </c>
      <c r="R84" s="67" t="str">
        <f aca="false">IF(L84&gt;='What-If Lab'!$C$8,"Large",IF(L84&gt;='What-If Lab'!$C$9,"Medium","Small"))</f>
        <v>Medium</v>
      </c>
    </row>
    <row r="85" customFormat="false" ht="15" hidden="false" customHeight="false" outlineLevel="0" collapsed="false">
      <c r="A85" s="58" t="s">
        <v>227</v>
      </c>
      <c r="B85" s="59" t="n">
        <v>46111</v>
      </c>
      <c r="C85" s="60" t="n">
        <f aca="false">MONTH(B85)</f>
        <v>3</v>
      </c>
      <c r="D85" s="58" t="s">
        <v>62</v>
      </c>
      <c r="E85" s="58" t="s">
        <v>63</v>
      </c>
      <c r="F85" s="58" t="s">
        <v>91</v>
      </c>
      <c r="G85" s="58" t="s">
        <v>43</v>
      </c>
      <c r="H85" s="61" t="n">
        <v>4</v>
      </c>
      <c r="I85" s="62" t="n">
        <v>59200</v>
      </c>
      <c r="J85" s="63" t="n">
        <f aca="false">H85*I85</f>
        <v>236800</v>
      </c>
      <c r="K85" s="64" t="n">
        <v>0.08</v>
      </c>
      <c r="L85" s="63" t="n">
        <f aca="false">J85*(1-K85)</f>
        <v>217856</v>
      </c>
      <c r="M85" s="62" t="n">
        <v>135070.72</v>
      </c>
      <c r="N85" s="63" t="n">
        <f aca="false">L85-M85</f>
        <v>82785.28</v>
      </c>
      <c r="O85" s="65" t="n">
        <f aca="false">IF(L85=0,0,N85/L85)</f>
        <v>0.38</v>
      </c>
      <c r="P85" s="63" t="n">
        <f aca="false">J85-L85</f>
        <v>18944</v>
      </c>
      <c r="Q85" s="66" t="n">
        <v>3.1</v>
      </c>
      <c r="R85" s="67" t="str">
        <f aca="false">IF(L85&gt;='What-If Lab'!$C$8,"Large",IF(L85&gt;='What-If Lab'!$C$9,"Medium","Small"))</f>
        <v>Small</v>
      </c>
    </row>
    <row r="86" customFormat="false" ht="15" hidden="false" customHeight="false" outlineLevel="0" collapsed="false">
      <c r="A86" s="58" t="s">
        <v>228</v>
      </c>
      <c r="B86" s="59" t="n">
        <v>46293</v>
      </c>
      <c r="C86" s="60" t="n">
        <f aca="false">MONTH(B86)</f>
        <v>9</v>
      </c>
      <c r="D86" s="58" t="s">
        <v>62</v>
      </c>
      <c r="E86" s="58" t="s">
        <v>61</v>
      </c>
      <c r="F86" s="58" t="s">
        <v>91</v>
      </c>
      <c r="G86" s="58" t="s">
        <v>49</v>
      </c>
      <c r="H86" s="61" t="n">
        <v>5</v>
      </c>
      <c r="I86" s="62" t="n">
        <v>303400</v>
      </c>
      <c r="J86" s="63" t="n">
        <f aca="false">H86*I86</f>
        <v>1517000</v>
      </c>
      <c r="K86" s="64" t="n">
        <v>0.08</v>
      </c>
      <c r="L86" s="63" t="n">
        <f aca="false">J86*(1-K86)</f>
        <v>1395640</v>
      </c>
      <c r="M86" s="62" t="n">
        <v>1088599.2</v>
      </c>
      <c r="N86" s="63" t="n">
        <f aca="false">L86-M86</f>
        <v>307040.8</v>
      </c>
      <c r="O86" s="65" t="n">
        <f aca="false">IF(L86=0,0,N86/L86)</f>
        <v>0.22</v>
      </c>
      <c r="P86" s="63" t="n">
        <f aca="false">J86-L86</f>
        <v>121360</v>
      </c>
      <c r="Q86" s="66" t="n">
        <v>3.3</v>
      </c>
      <c r="R86" s="67" t="str">
        <f aca="false">IF(L86&gt;='What-If Lab'!$C$8,"Large",IF(L86&gt;='What-If Lab'!$C$9,"Medium","Small"))</f>
        <v>Medium</v>
      </c>
    </row>
    <row r="87" customFormat="false" ht="15" hidden="false" customHeight="false" outlineLevel="0" collapsed="false">
      <c r="A87" s="58" t="s">
        <v>229</v>
      </c>
      <c r="B87" s="59" t="n">
        <v>46265</v>
      </c>
      <c r="C87" s="60" t="n">
        <f aca="false">MONTH(B87)</f>
        <v>8</v>
      </c>
      <c r="D87" s="58" t="s">
        <v>60</v>
      </c>
      <c r="E87" s="58" t="s">
        <v>63</v>
      </c>
      <c r="F87" s="58" t="s">
        <v>92</v>
      </c>
      <c r="G87" s="58" t="s">
        <v>49</v>
      </c>
      <c r="H87" s="61" t="n">
        <v>5</v>
      </c>
      <c r="I87" s="62" t="n">
        <v>296100</v>
      </c>
      <c r="J87" s="63" t="n">
        <f aca="false">H87*I87</f>
        <v>1480500</v>
      </c>
      <c r="K87" s="64" t="n">
        <v>0.03</v>
      </c>
      <c r="L87" s="63" t="n">
        <f aca="false">J87*(1-K87)</f>
        <v>1436085</v>
      </c>
      <c r="M87" s="62" t="n">
        <v>1120146.3</v>
      </c>
      <c r="N87" s="63" t="n">
        <f aca="false">L87-M87</f>
        <v>315938.7</v>
      </c>
      <c r="O87" s="65" t="n">
        <f aca="false">IF(L87=0,0,N87/L87)</f>
        <v>0.22</v>
      </c>
      <c r="P87" s="63" t="n">
        <f aca="false">J87-L87</f>
        <v>44415</v>
      </c>
      <c r="Q87" s="66" t="n">
        <v>4.4</v>
      </c>
      <c r="R87" s="67" t="str">
        <f aca="false">IF(L87&gt;='What-If Lab'!$C$8,"Large",IF(L87&gt;='What-If Lab'!$C$9,"Medium","Small"))</f>
        <v>Medium</v>
      </c>
    </row>
    <row r="88" customFormat="false" ht="15" hidden="false" customHeight="false" outlineLevel="0" collapsed="false">
      <c r="A88" s="58" t="s">
        <v>230</v>
      </c>
      <c r="B88" s="59" t="n">
        <v>46034</v>
      </c>
      <c r="C88" s="60" t="n">
        <f aca="false">MONTH(B88)</f>
        <v>1</v>
      </c>
      <c r="D88" s="58" t="s">
        <v>66</v>
      </c>
      <c r="E88" s="58" t="s">
        <v>59</v>
      </c>
      <c r="F88" s="58" t="s">
        <v>92</v>
      </c>
      <c r="G88" s="58" t="s">
        <v>45</v>
      </c>
      <c r="H88" s="61" t="n">
        <v>5</v>
      </c>
      <c r="I88" s="62" t="n">
        <v>517100</v>
      </c>
      <c r="J88" s="63" t="n">
        <f aca="false">H88*I88</f>
        <v>2585500</v>
      </c>
      <c r="K88" s="64" t="n">
        <v>0.1</v>
      </c>
      <c r="L88" s="63" t="n">
        <f aca="false">J88*(1-K88)</f>
        <v>2326950</v>
      </c>
      <c r="M88" s="62" t="n">
        <v>1768482</v>
      </c>
      <c r="N88" s="63" t="n">
        <f aca="false">L88-M88</f>
        <v>558468</v>
      </c>
      <c r="O88" s="65" t="n">
        <f aca="false">IF(L88=0,0,N88/L88)</f>
        <v>0.24</v>
      </c>
      <c r="P88" s="63" t="n">
        <f aca="false">J88-L88</f>
        <v>258550</v>
      </c>
      <c r="Q88" s="66" t="n">
        <v>4.7</v>
      </c>
      <c r="R88" s="67" t="str">
        <f aca="false">IF(L88&gt;='What-If Lab'!$C$8,"Large",IF(L88&gt;='What-If Lab'!$C$9,"Medium","Small"))</f>
        <v>Large</v>
      </c>
    </row>
    <row r="89" customFormat="false" ht="15" hidden="false" customHeight="false" outlineLevel="0" collapsed="false">
      <c r="A89" s="58" t="s">
        <v>231</v>
      </c>
      <c r="B89" s="59" t="n">
        <v>46067</v>
      </c>
      <c r="C89" s="60" t="n">
        <f aca="false">MONTH(B89)</f>
        <v>2</v>
      </c>
      <c r="D89" s="58" t="s">
        <v>60</v>
      </c>
      <c r="E89" s="58" t="s">
        <v>63</v>
      </c>
      <c r="F89" s="58" t="s">
        <v>91</v>
      </c>
      <c r="G89" s="58" t="s">
        <v>43</v>
      </c>
      <c r="H89" s="61" t="n">
        <v>5</v>
      </c>
      <c r="I89" s="62" t="n">
        <v>65900</v>
      </c>
      <c r="J89" s="63" t="n">
        <f aca="false">H89*I89</f>
        <v>329500</v>
      </c>
      <c r="K89" s="64" t="n">
        <v>0.1</v>
      </c>
      <c r="L89" s="63" t="n">
        <f aca="false">J89*(1-K89)</f>
        <v>296550</v>
      </c>
      <c r="M89" s="62" t="n">
        <v>183861</v>
      </c>
      <c r="N89" s="63" t="n">
        <f aca="false">L89-M89</f>
        <v>112689</v>
      </c>
      <c r="O89" s="65" t="n">
        <f aca="false">IF(L89=0,0,N89/L89)</f>
        <v>0.38</v>
      </c>
      <c r="P89" s="63" t="n">
        <f aca="false">J89-L89</f>
        <v>32950</v>
      </c>
      <c r="Q89" s="66" t="n">
        <v>4.5</v>
      </c>
      <c r="R89" s="67" t="str">
        <f aca="false">IF(L89&gt;='What-If Lab'!$C$8,"Large",IF(L89&gt;='What-If Lab'!$C$9,"Medium","Small"))</f>
        <v>Small</v>
      </c>
    </row>
    <row r="90" customFormat="false" ht="15" hidden="false" customHeight="false" outlineLevel="0" collapsed="false">
      <c r="A90" s="58" t="s">
        <v>232</v>
      </c>
      <c r="B90" s="59" t="n">
        <v>46140</v>
      </c>
      <c r="C90" s="60" t="n">
        <f aca="false">MONTH(B90)</f>
        <v>4</v>
      </c>
      <c r="D90" s="58" t="s">
        <v>62</v>
      </c>
      <c r="E90" s="58" t="s">
        <v>59</v>
      </c>
      <c r="F90" s="58" t="s">
        <v>90</v>
      </c>
      <c r="G90" s="58" t="s">
        <v>43</v>
      </c>
      <c r="H90" s="61" t="n">
        <v>1</v>
      </c>
      <c r="I90" s="62" t="n">
        <v>68000</v>
      </c>
      <c r="J90" s="63" t="n">
        <f aca="false">H90*I90</f>
        <v>68000</v>
      </c>
      <c r="K90" s="64" t="n">
        <v>0.05</v>
      </c>
      <c r="L90" s="63" t="n">
        <f aca="false">J90*(1-K90)</f>
        <v>64600</v>
      </c>
      <c r="M90" s="62" t="n">
        <v>40052</v>
      </c>
      <c r="N90" s="63" t="n">
        <f aca="false">L90-M90</f>
        <v>24548</v>
      </c>
      <c r="O90" s="65" t="n">
        <f aca="false">IF(L90=0,0,N90/L90)</f>
        <v>0.38</v>
      </c>
      <c r="P90" s="63" t="n">
        <f aca="false">J90-L90</f>
        <v>3400</v>
      </c>
      <c r="Q90" s="66" t="n">
        <v>4.2</v>
      </c>
      <c r="R90" s="67" t="str">
        <f aca="false">IF(L90&gt;='What-If Lab'!$C$8,"Large",IF(L90&gt;='What-If Lab'!$C$9,"Medium","Small"))</f>
        <v>Small</v>
      </c>
    </row>
    <row r="91" customFormat="false" ht="15" hidden="false" customHeight="false" outlineLevel="0" collapsed="false">
      <c r="A91" s="58" t="s">
        <v>233</v>
      </c>
      <c r="B91" s="59" t="n">
        <v>46253</v>
      </c>
      <c r="C91" s="60" t="n">
        <f aca="false">MONTH(B91)</f>
        <v>8</v>
      </c>
      <c r="D91" s="58" t="s">
        <v>62</v>
      </c>
      <c r="E91" s="58" t="s">
        <v>63</v>
      </c>
      <c r="F91" s="58" t="s">
        <v>90</v>
      </c>
      <c r="G91" s="58" t="s">
        <v>49</v>
      </c>
      <c r="H91" s="61" t="n">
        <v>5</v>
      </c>
      <c r="I91" s="62" t="n">
        <v>323300</v>
      </c>
      <c r="J91" s="63" t="n">
        <f aca="false">H91*I91</f>
        <v>1616500</v>
      </c>
      <c r="K91" s="64" t="n">
        <v>0.08</v>
      </c>
      <c r="L91" s="63" t="n">
        <f aca="false">J91*(1-K91)</f>
        <v>1487180</v>
      </c>
      <c r="M91" s="62" t="n">
        <v>1160000.4</v>
      </c>
      <c r="N91" s="63" t="n">
        <f aca="false">L91-M91</f>
        <v>327179.6</v>
      </c>
      <c r="O91" s="65" t="n">
        <f aca="false">IF(L91=0,0,N91/L91)</f>
        <v>0.22</v>
      </c>
      <c r="P91" s="63" t="n">
        <f aca="false">J91-L91</f>
        <v>129320</v>
      </c>
      <c r="Q91" s="66" t="n">
        <v>3.5</v>
      </c>
      <c r="R91" s="67" t="str">
        <f aca="false">IF(L91&gt;='What-If Lab'!$C$8,"Large",IF(L91&gt;='What-If Lab'!$C$9,"Medium","Small"))</f>
        <v>Medium</v>
      </c>
    </row>
    <row r="92" customFormat="false" ht="15" hidden="false" customHeight="false" outlineLevel="0" collapsed="false">
      <c r="A92" s="58" t="s">
        <v>234</v>
      </c>
      <c r="B92" s="59" t="n">
        <v>46172</v>
      </c>
      <c r="C92" s="60" t="n">
        <f aca="false">MONTH(B92)</f>
        <v>5</v>
      </c>
      <c r="D92" s="58" t="s">
        <v>62</v>
      </c>
      <c r="E92" s="58" t="s">
        <v>59</v>
      </c>
      <c r="F92" s="58" t="s">
        <v>92</v>
      </c>
      <c r="G92" s="58" t="s">
        <v>49</v>
      </c>
      <c r="H92" s="61" t="n">
        <v>5</v>
      </c>
      <c r="I92" s="62" t="n">
        <v>314000</v>
      </c>
      <c r="J92" s="63" t="n">
        <f aca="false">H92*I92</f>
        <v>1570000</v>
      </c>
      <c r="K92" s="64" t="n">
        <v>0.08</v>
      </c>
      <c r="L92" s="63" t="n">
        <f aca="false">J92*(1-K92)</f>
        <v>1444400</v>
      </c>
      <c r="M92" s="62" t="n">
        <v>1126632</v>
      </c>
      <c r="N92" s="63" t="n">
        <f aca="false">L92-M92</f>
        <v>317768</v>
      </c>
      <c r="O92" s="65" t="n">
        <f aca="false">IF(L92=0,0,N92/L92)</f>
        <v>0.22</v>
      </c>
      <c r="P92" s="63" t="n">
        <f aca="false">J92-L92</f>
        <v>125600</v>
      </c>
      <c r="Q92" s="66" t="n">
        <v>4.2</v>
      </c>
      <c r="R92" s="67" t="str">
        <f aca="false">IF(L92&gt;='What-If Lab'!$C$8,"Large",IF(L92&gt;='What-If Lab'!$C$9,"Medium","Small"))</f>
        <v>Medium</v>
      </c>
    </row>
    <row r="93" customFormat="false" ht="15" hidden="false" customHeight="false" outlineLevel="0" collapsed="false">
      <c r="A93" s="58" t="s">
        <v>235</v>
      </c>
      <c r="B93" s="59" t="n">
        <v>46129</v>
      </c>
      <c r="C93" s="60" t="n">
        <f aca="false">MONTH(B93)</f>
        <v>4</v>
      </c>
      <c r="D93" s="58" t="s">
        <v>64</v>
      </c>
      <c r="E93" s="58" t="s">
        <v>63</v>
      </c>
      <c r="F93" s="58" t="s">
        <v>90</v>
      </c>
      <c r="G93" s="58" t="s">
        <v>45</v>
      </c>
      <c r="H93" s="61" t="n">
        <v>2</v>
      </c>
      <c r="I93" s="62" t="n">
        <v>543400</v>
      </c>
      <c r="J93" s="63" t="n">
        <f aca="false">H93*I93</f>
        <v>1086800</v>
      </c>
      <c r="K93" s="64" t="n">
        <v>0.08</v>
      </c>
      <c r="L93" s="63" t="n">
        <f aca="false">J93*(1-K93)</f>
        <v>999856</v>
      </c>
      <c r="M93" s="62" t="n">
        <v>759890.56</v>
      </c>
      <c r="N93" s="63" t="n">
        <f aca="false">L93-M93</f>
        <v>239965.44</v>
      </c>
      <c r="O93" s="65" t="n">
        <f aca="false">IF(L93=0,0,N93/L93)</f>
        <v>0.24</v>
      </c>
      <c r="P93" s="63" t="n">
        <f aca="false">J93-L93</f>
        <v>86944</v>
      </c>
      <c r="Q93" s="66" t="n">
        <v>3.4</v>
      </c>
      <c r="R93" s="67" t="str">
        <f aca="false">IF(L93&gt;='What-If Lab'!$C$8,"Large",IF(L93&gt;='What-If Lab'!$C$9,"Medium","Small"))</f>
        <v>Medium</v>
      </c>
    </row>
    <row r="94" customFormat="false" ht="15" hidden="false" customHeight="false" outlineLevel="0" collapsed="false">
      <c r="A94" s="58" t="s">
        <v>236</v>
      </c>
      <c r="B94" s="59" t="n">
        <v>46256</v>
      </c>
      <c r="C94" s="60" t="n">
        <f aca="false">MONTH(B94)</f>
        <v>8</v>
      </c>
      <c r="D94" s="58" t="s">
        <v>58</v>
      </c>
      <c r="E94" s="58" t="s">
        <v>65</v>
      </c>
      <c r="F94" s="58" t="s">
        <v>91</v>
      </c>
      <c r="G94" s="58" t="s">
        <v>43</v>
      </c>
      <c r="H94" s="61" t="n">
        <v>2</v>
      </c>
      <c r="I94" s="62" t="n">
        <v>60200</v>
      </c>
      <c r="J94" s="63" t="n">
        <f aca="false">H94*I94</f>
        <v>120400</v>
      </c>
      <c r="K94" s="64" t="n">
        <v>0.05</v>
      </c>
      <c r="L94" s="63" t="n">
        <f aca="false">J94*(1-K94)</f>
        <v>114380</v>
      </c>
      <c r="M94" s="62" t="n">
        <v>70915.6</v>
      </c>
      <c r="N94" s="63" t="n">
        <f aca="false">L94-M94</f>
        <v>43464.4</v>
      </c>
      <c r="O94" s="65" t="n">
        <f aca="false">IF(L94=0,0,N94/L94)</f>
        <v>0.38</v>
      </c>
      <c r="P94" s="63" t="n">
        <f aca="false">J94-L94</f>
        <v>6020</v>
      </c>
      <c r="Q94" s="66" t="n">
        <v>4.4</v>
      </c>
      <c r="R94" s="67" t="str">
        <f aca="false">IF(L94&gt;='What-If Lab'!$C$8,"Large",IF(L94&gt;='What-If Lab'!$C$9,"Medium","Small"))</f>
        <v>Small</v>
      </c>
    </row>
    <row r="95" customFormat="false" ht="15" hidden="false" customHeight="false" outlineLevel="0" collapsed="false">
      <c r="A95" s="58" t="s">
        <v>237</v>
      </c>
      <c r="B95" s="59" t="n">
        <v>46189</v>
      </c>
      <c r="C95" s="60" t="n">
        <f aca="false">MONTH(B95)</f>
        <v>6</v>
      </c>
      <c r="D95" s="58" t="s">
        <v>58</v>
      </c>
      <c r="E95" s="58" t="s">
        <v>63</v>
      </c>
      <c r="F95" s="58" t="s">
        <v>90</v>
      </c>
      <c r="G95" s="58" t="s">
        <v>51</v>
      </c>
      <c r="H95" s="61" t="n">
        <v>3</v>
      </c>
      <c r="I95" s="62" t="n">
        <v>216300</v>
      </c>
      <c r="J95" s="63" t="n">
        <f aca="false">H95*I95</f>
        <v>648900</v>
      </c>
      <c r="K95" s="64" t="n">
        <v>0</v>
      </c>
      <c r="L95" s="63" t="n">
        <f aca="false">J95*(1-K95)</f>
        <v>648900</v>
      </c>
      <c r="M95" s="62" t="n">
        <v>480186</v>
      </c>
      <c r="N95" s="63" t="n">
        <f aca="false">L95-M95</f>
        <v>168714</v>
      </c>
      <c r="O95" s="65" t="n">
        <f aca="false">IF(L95=0,0,N95/L95)</f>
        <v>0.26</v>
      </c>
      <c r="P95" s="63" t="n">
        <f aca="false">J95-L95</f>
        <v>0</v>
      </c>
      <c r="Q95" s="66" t="n">
        <v>4.6</v>
      </c>
      <c r="R95" s="67" t="str">
        <f aca="false">IF(L95&gt;='What-If Lab'!$C$8,"Large",IF(L95&gt;='What-If Lab'!$C$9,"Medium","Small"))</f>
        <v>Medium</v>
      </c>
    </row>
    <row r="96" customFormat="false" ht="15" hidden="false" customHeight="false" outlineLevel="0" collapsed="false">
      <c r="A96" s="58" t="s">
        <v>238</v>
      </c>
      <c r="B96" s="59" t="n">
        <v>46189</v>
      </c>
      <c r="C96" s="60" t="n">
        <f aca="false">MONTH(B96)</f>
        <v>6</v>
      </c>
      <c r="D96" s="58" t="s">
        <v>66</v>
      </c>
      <c r="E96" s="58" t="s">
        <v>65</v>
      </c>
      <c r="F96" s="58" t="s">
        <v>92</v>
      </c>
      <c r="G96" s="58" t="s">
        <v>49</v>
      </c>
      <c r="H96" s="61" t="n">
        <v>5</v>
      </c>
      <c r="I96" s="62" t="n">
        <v>286900</v>
      </c>
      <c r="J96" s="63" t="n">
        <f aca="false">H96*I96</f>
        <v>1434500</v>
      </c>
      <c r="K96" s="64" t="n">
        <v>0.05</v>
      </c>
      <c r="L96" s="63" t="n">
        <f aca="false">J96*(1-K96)</f>
        <v>1362775</v>
      </c>
      <c r="M96" s="62" t="n">
        <v>1062964.5</v>
      </c>
      <c r="N96" s="63" t="n">
        <f aca="false">L96-M96</f>
        <v>299810.5</v>
      </c>
      <c r="O96" s="65" t="n">
        <f aca="false">IF(L96=0,0,N96/L96)</f>
        <v>0.22</v>
      </c>
      <c r="P96" s="63" t="n">
        <f aca="false">J96-L96</f>
        <v>71725</v>
      </c>
      <c r="Q96" s="66" t="n">
        <v>4.6</v>
      </c>
      <c r="R96" s="67" t="str">
        <f aca="false">IF(L96&gt;='What-If Lab'!$C$8,"Large",IF(L96&gt;='What-If Lab'!$C$9,"Medium","Small"))</f>
        <v>Medium</v>
      </c>
    </row>
    <row r="97" customFormat="false" ht="15" hidden="false" customHeight="false" outlineLevel="0" collapsed="false">
      <c r="A97" s="58" t="s">
        <v>239</v>
      </c>
      <c r="B97" s="59" t="n">
        <v>46279</v>
      </c>
      <c r="C97" s="60" t="n">
        <f aca="false">MONTH(B97)</f>
        <v>9</v>
      </c>
      <c r="D97" s="58" t="s">
        <v>62</v>
      </c>
      <c r="E97" s="58" t="s">
        <v>59</v>
      </c>
      <c r="F97" s="58" t="s">
        <v>92</v>
      </c>
      <c r="G97" s="58" t="s">
        <v>45</v>
      </c>
      <c r="H97" s="61" t="n">
        <v>3</v>
      </c>
      <c r="I97" s="62" t="n">
        <v>559000</v>
      </c>
      <c r="J97" s="63" t="n">
        <f aca="false">H97*I97</f>
        <v>1677000</v>
      </c>
      <c r="K97" s="64" t="n">
        <v>0.05</v>
      </c>
      <c r="L97" s="63" t="n">
        <f aca="false">J97*(1-K97)</f>
        <v>1593150</v>
      </c>
      <c r="M97" s="62" t="n">
        <v>1210794</v>
      </c>
      <c r="N97" s="63" t="n">
        <f aca="false">L97-M97</f>
        <v>382356</v>
      </c>
      <c r="O97" s="65" t="n">
        <f aca="false">IF(L97=0,0,N97/L97)</f>
        <v>0.24</v>
      </c>
      <c r="P97" s="63" t="n">
        <f aca="false">J97-L97</f>
        <v>83850</v>
      </c>
      <c r="Q97" s="66" t="n">
        <v>3.8</v>
      </c>
      <c r="R97" s="67" t="str">
        <f aca="false">IF(L97&gt;='What-If Lab'!$C$8,"Large",IF(L97&gt;='What-If Lab'!$C$9,"Medium","Small"))</f>
        <v>Large</v>
      </c>
    </row>
    <row r="98" customFormat="false" ht="15" hidden="false" customHeight="false" outlineLevel="0" collapsed="false">
      <c r="A98" s="58" t="s">
        <v>240</v>
      </c>
      <c r="B98" s="59" t="n">
        <v>46129</v>
      </c>
      <c r="C98" s="60" t="n">
        <f aca="false">MONTH(B98)</f>
        <v>4</v>
      </c>
      <c r="D98" s="58" t="s">
        <v>58</v>
      </c>
      <c r="E98" s="58" t="s">
        <v>61</v>
      </c>
      <c r="F98" s="58" t="s">
        <v>90</v>
      </c>
      <c r="G98" s="58" t="s">
        <v>45</v>
      </c>
      <c r="H98" s="61" t="n">
        <v>2</v>
      </c>
      <c r="I98" s="62" t="n">
        <v>469400</v>
      </c>
      <c r="J98" s="63" t="n">
        <f aca="false">H98*I98</f>
        <v>938800</v>
      </c>
      <c r="K98" s="64" t="n">
        <v>0</v>
      </c>
      <c r="L98" s="63" t="n">
        <f aca="false">J98*(1-K98)</f>
        <v>938800</v>
      </c>
      <c r="M98" s="62" t="n">
        <v>713488</v>
      </c>
      <c r="N98" s="63" t="n">
        <f aca="false">L98-M98</f>
        <v>225312</v>
      </c>
      <c r="O98" s="65" t="n">
        <f aca="false">IF(L98=0,0,N98/L98)</f>
        <v>0.24</v>
      </c>
      <c r="P98" s="63" t="n">
        <f aca="false">J98-L98</f>
        <v>0</v>
      </c>
      <c r="Q98" s="66" t="n">
        <v>5</v>
      </c>
      <c r="R98" s="67" t="str">
        <f aca="false">IF(L98&gt;='What-If Lab'!$C$8,"Large",IF(L98&gt;='What-If Lab'!$C$9,"Medium","Small"))</f>
        <v>Medium</v>
      </c>
    </row>
    <row r="99" customFormat="false" ht="15" hidden="false" customHeight="false" outlineLevel="0" collapsed="false">
      <c r="A99" s="58" t="s">
        <v>241</v>
      </c>
      <c r="B99" s="59" t="n">
        <v>46167</v>
      </c>
      <c r="C99" s="60" t="n">
        <f aca="false">MONTH(B99)</f>
        <v>5</v>
      </c>
      <c r="D99" s="58" t="s">
        <v>62</v>
      </c>
      <c r="E99" s="58" t="s">
        <v>63</v>
      </c>
      <c r="F99" s="58" t="s">
        <v>91</v>
      </c>
      <c r="G99" s="58" t="s">
        <v>43</v>
      </c>
      <c r="H99" s="61" t="n">
        <v>4</v>
      </c>
      <c r="I99" s="62" t="n">
        <v>63900</v>
      </c>
      <c r="J99" s="63" t="n">
        <f aca="false">H99*I99</f>
        <v>255600</v>
      </c>
      <c r="K99" s="64" t="n">
        <v>0</v>
      </c>
      <c r="L99" s="63" t="n">
        <f aca="false">J99*(1-K99)</f>
        <v>255600</v>
      </c>
      <c r="M99" s="62" t="n">
        <v>158472</v>
      </c>
      <c r="N99" s="63" t="n">
        <f aca="false">L99-M99</f>
        <v>97128</v>
      </c>
      <c r="O99" s="65" t="n">
        <f aca="false">IF(L99=0,0,N99/L99)</f>
        <v>0.38</v>
      </c>
      <c r="P99" s="63" t="n">
        <f aca="false">J99-L99</f>
        <v>0</v>
      </c>
      <c r="Q99" s="66" t="n">
        <v>4.1</v>
      </c>
      <c r="R99" s="67" t="str">
        <f aca="false">IF(L99&gt;='What-If Lab'!$C$8,"Large",IF(L99&gt;='What-If Lab'!$C$9,"Medium","Small"))</f>
        <v>Small</v>
      </c>
    </row>
    <row r="100" customFormat="false" ht="15" hidden="false" customHeight="false" outlineLevel="0" collapsed="false">
      <c r="A100" s="58" t="s">
        <v>242</v>
      </c>
      <c r="B100" s="59" t="n">
        <v>46091</v>
      </c>
      <c r="C100" s="60" t="n">
        <f aca="false">MONTH(B100)</f>
        <v>3</v>
      </c>
      <c r="D100" s="58" t="s">
        <v>62</v>
      </c>
      <c r="E100" s="58" t="s">
        <v>59</v>
      </c>
      <c r="F100" s="58" t="s">
        <v>91</v>
      </c>
      <c r="G100" s="58" t="s">
        <v>49</v>
      </c>
      <c r="H100" s="61" t="n">
        <v>3</v>
      </c>
      <c r="I100" s="62" t="n">
        <v>291500</v>
      </c>
      <c r="J100" s="63" t="n">
        <f aca="false">H100*I100</f>
        <v>874500</v>
      </c>
      <c r="K100" s="64" t="n">
        <v>0</v>
      </c>
      <c r="L100" s="63" t="n">
        <f aca="false">J100*(1-K100)</f>
        <v>874500</v>
      </c>
      <c r="M100" s="62" t="n">
        <v>682110</v>
      </c>
      <c r="N100" s="63" t="n">
        <f aca="false">L100-M100</f>
        <v>192390</v>
      </c>
      <c r="O100" s="65" t="n">
        <f aca="false">IF(L100=0,0,N100/L100)</f>
        <v>0.22</v>
      </c>
      <c r="P100" s="63" t="n">
        <f aca="false">J100-L100</f>
        <v>0</v>
      </c>
      <c r="Q100" s="66" t="n">
        <v>4.4</v>
      </c>
      <c r="R100" s="67" t="str">
        <f aca="false">IF(L100&gt;='What-If Lab'!$C$8,"Large",IF(L100&gt;='What-If Lab'!$C$9,"Medium","Small"))</f>
        <v>Medium</v>
      </c>
    </row>
    <row r="101" customFormat="false" ht="15" hidden="false" customHeight="false" outlineLevel="0" collapsed="false">
      <c r="A101" s="58" t="s">
        <v>243</v>
      </c>
      <c r="B101" s="59" t="n">
        <v>46174</v>
      </c>
      <c r="C101" s="60" t="n">
        <f aca="false">MONTH(B101)</f>
        <v>6</v>
      </c>
      <c r="D101" s="58" t="s">
        <v>66</v>
      </c>
      <c r="E101" s="58" t="s">
        <v>63</v>
      </c>
      <c r="F101" s="58" t="s">
        <v>91</v>
      </c>
      <c r="G101" s="58" t="s">
        <v>49</v>
      </c>
      <c r="H101" s="61" t="n">
        <v>5</v>
      </c>
      <c r="I101" s="62" t="n">
        <v>301700</v>
      </c>
      <c r="J101" s="63" t="n">
        <f aca="false">H101*I101</f>
        <v>1508500</v>
      </c>
      <c r="K101" s="64" t="n">
        <v>0.03</v>
      </c>
      <c r="L101" s="63" t="n">
        <f aca="false">J101*(1-K101)</f>
        <v>1463245</v>
      </c>
      <c r="M101" s="62" t="n">
        <v>1141331.1</v>
      </c>
      <c r="N101" s="63" t="n">
        <f aca="false">L101-M101</f>
        <v>321913.9</v>
      </c>
      <c r="O101" s="65" t="n">
        <f aca="false">IF(L101=0,0,N101/L101)</f>
        <v>0.22</v>
      </c>
      <c r="P101" s="63" t="n">
        <f aca="false">J101-L101</f>
        <v>45255</v>
      </c>
      <c r="Q101" s="66" t="n">
        <v>4.6</v>
      </c>
      <c r="R101" s="67" t="str">
        <f aca="false">IF(L101&gt;='What-If Lab'!$C$8,"Large",IF(L101&gt;='What-If Lab'!$C$9,"Medium","Small"))</f>
        <v>Medium</v>
      </c>
    </row>
    <row r="102" customFormat="false" ht="15" hidden="false" customHeight="false" outlineLevel="0" collapsed="false">
      <c r="A102" s="58" t="s">
        <v>244</v>
      </c>
      <c r="B102" s="59" t="n">
        <v>46045</v>
      </c>
      <c r="C102" s="60" t="n">
        <f aca="false">MONTH(B102)</f>
        <v>1</v>
      </c>
      <c r="D102" s="58" t="s">
        <v>60</v>
      </c>
      <c r="E102" s="58" t="s">
        <v>59</v>
      </c>
      <c r="F102" s="58" t="s">
        <v>91</v>
      </c>
      <c r="G102" s="58" t="s">
        <v>43</v>
      </c>
      <c r="H102" s="61" t="n">
        <v>1</v>
      </c>
      <c r="I102" s="62" t="n">
        <v>66200</v>
      </c>
      <c r="J102" s="63" t="n">
        <f aca="false">H102*I102</f>
        <v>66200</v>
      </c>
      <c r="K102" s="64" t="n">
        <v>0</v>
      </c>
      <c r="L102" s="63" t="n">
        <f aca="false">J102*(1-K102)</f>
        <v>66200</v>
      </c>
      <c r="M102" s="62" t="n">
        <v>41044</v>
      </c>
      <c r="N102" s="63" t="n">
        <f aca="false">L102-M102</f>
        <v>25156</v>
      </c>
      <c r="O102" s="65" t="n">
        <f aca="false">IF(L102=0,0,N102/L102)</f>
        <v>0.38</v>
      </c>
      <c r="P102" s="63" t="n">
        <f aca="false">J102-L102</f>
        <v>0</v>
      </c>
      <c r="Q102" s="66" t="n">
        <v>4.3</v>
      </c>
      <c r="R102" s="67" t="str">
        <f aca="false">IF(L102&gt;='What-If Lab'!$C$8,"Large",IF(L102&gt;='What-If Lab'!$C$9,"Medium","Small"))</f>
        <v>Small</v>
      </c>
    </row>
    <row r="103" customFormat="false" ht="15" hidden="false" customHeight="false" outlineLevel="0" collapsed="false">
      <c r="A103" s="58" t="s">
        <v>245</v>
      </c>
      <c r="B103" s="59" t="n">
        <v>46186</v>
      </c>
      <c r="C103" s="60" t="n">
        <f aca="false">MONTH(B103)</f>
        <v>6</v>
      </c>
      <c r="D103" s="58" t="s">
        <v>64</v>
      </c>
      <c r="E103" s="58" t="s">
        <v>65</v>
      </c>
      <c r="F103" s="58" t="s">
        <v>90</v>
      </c>
      <c r="G103" s="58" t="s">
        <v>45</v>
      </c>
      <c r="H103" s="61" t="n">
        <v>1</v>
      </c>
      <c r="I103" s="62" t="n">
        <v>528400</v>
      </c>
      <c r="J103" s="63" t="n">
        <f aca="false">H103*I103</f>
        <v>528400</v>
      </c>
      <c r="K103" s="64" t="n">
        <v>0.05</v>
      </c>
      <c r="L103" s="63" t="n">
        <f aca="false">J103*(1-K103)</f>
        <v>501980</v>
      </c>
      <c r="M103" s="62" t="n">
        <v>381504.8</v>
      </c>
      <c r="N103" s="63" t="n">
        <f aca="false">L103-M103</f>
        <v>120475.2</v>
      </c>
      <c r="O103" s="65" t="n">
        <f aca="false">IF(L103=0,0,N103/L103)</f>
        <v>0.24</v>
      </c>
      <c r="P103" s="63" t="n">
        <f aca="false">J103-L103</f>
        <v>26420</v>
      </c>
      <c r="Q103" s="66" t="n">
        <v>4.7</v>
      </c>
      <c r="R103" s="67" t="str">
        <f aca="false">IF(L103&gt;='What-If Lab'!$C$8,"Large",IF(L103&gt;='What-If Lab'!$C$9,"Medium","Small"))</f>
        <v>Medium</v>
      </c>
    </row>
    <row r="104" customFormat="false" ht="15" hidden="false" customHeight="false" outlineLevel="0" collapsed="false">
      <c r="A104" s="58" t="s">
        <v>246</v>
      </c>
      <c r="B104" s="59" t="n">
        <v>46227</v>
      </c>
      <c r="C104" s="60" t="n">
        <f aca="false">MONTH(B104)</f>
        <v>7</v>
      </c>
      <c r="D104" s="58" t="s">
        <v>62</v>
      </c>
      <c r="E104" s="58" t="s">
        <v>59</v>
      </c>
      <c r="F104" s="58" t="s">
        <v>90</v>
      </c>
      <c r="G104" s="58" t="s">
        <v>51</v>
      </c>
      <c r="H104" s="61" t="n">
        <v>2</v>
      </c>
      <c r="I104" s="62" t="n">
        <v>198200</v>
      </c>
      <c r="J104" s="63" t="n">
        <f aca="false">H104*I104</f>
        <v>396400</v>
      </c>
      <c r="K104" s="64" t="n">
        <v>0</v>
      </c>
      <c r="L104" s="63" t="n">
        <f aca="false">J104*(1-K104)</f>
        <v>396400</v>
      </c>
      <c r="M104" s="62" t="n">
        <v>293336</v>
      </c>
      <c r="N104" s="63" t="n">
        <f aca="false">L104-M104</f>
        <v>103064</v>
      </c>
      <c r="O104" s="65" t="n">
        <f aca="false">IF(L104=0,0,N104/L104)</f>
        <v>0.26</v>
      </c>
      <c r="P104" s="63" t="n">
        <f aca="false">J104-L104</f>
        <v>0</v>
      </c>
      <c r="Q104" s="66" t="n">
        <v>3.9</v>
      </c>
      <c r="R104" s="67" t="str">
        <f aca="false">IF(L104&gt;='What-If Lab'!$C$8,"Large",IF(L104&gt;='What-If Lab'!$C$9,"Medium","Small"))</f>
        <v>Small</v>
      </c>
    </row>
    <row r="105" customFormat="false" ht="15" hidden="false" customHeight="false" outlineLevel="0" collapsed="false">
      <c r="A105" s="58" t="s">
        <v>247</v>
      </c>
      <c r="B105" s="59" t="n">
        <v>46051</v>
      </c>
      <c r="C105" s="60" t="n">
        <f aca="false">MONTH(B105)</f>
        <v>1</v>
      </c>
      <c r="D105" s="58" t="s">
        <v>60</v>
      </c>
      <c r="E105" s="58" t="s">
        <v>61</v>
      </c>
      <c r="F105" s="58" t="s">
        <v>90</v>
      </c>
      <c r="G105" s="58" t="s">
        <v>49</v>
      </c>
      <c r="H105" s="61" t="n">
        <v>5</v>
      </c>
      <c r="I105" s="62" t="n">
        <v>288800</v>
      </c>
      <c r="J105" s="63" t="n">
        <f aca="false">H105*I105</f>
        <v>1444000</v>
      </c>
      <c r="K105" s="64" t="n">
        <v>0.03</v>
      </c>
      <c r="L105" s="63" t="n">
        <f aca="false">J105*(1-K105)</f>
        <v>1400680</v>
      </c>
      <c r="M105" s="62" t="n">
        <v>1092530.4</v>
      </c>
      <c r="N105" s="63" t="n">
        <f aca="false">L105-M105</f>
        <v>308149.6</v>
      </c>
      <c r="O105" s="65" t="n">
        <f aca="false">IF(L105=0,0,N105/L105)</f>
        <v>0.22</v>
      </c>
      <c r="P105" s="63" t="n">
        <f aca="false">J105-L105</f>
        <v>43320</v>
      </c>
      <c r="Q105" s="66" t="n">
        <v>4.5</v>
      </c>
      <c r="R105" s="67" t="str">
        <f aca="false">IF(L105&gt;='What-If Lab'!$C$8,"Large",IF(L105&gt;='What-If Lab'!$C$9,"Medium","Small"))</f>
        <v>Medium</v>
      </c>
    </row>
    <row r="106" customFormat="false" ht="15" hidden="false" customHeight="false" outlineLevel="0" collapsed="false">
      <c r="A106" s="58" t="s">
        <v>248</v>
      </c>
      <c r="B106" s="59" t="n">
        <v>46081</v>
      </c>
      <c r="C106" s="60" t="n">
        <f aca="false">MONTH(B106)</f>
        <v>2</v>
      </c>
      <c r="D106" s="58" t="s">
        <v>66</v>
      </c>
      <c r="E106" s="58" t="s">
        <v>59</v>
      </c>
      <c r="F106" s="58" t="s">
        <v>90</v>
      </c>
      <c r="G106" s="58" t="s">
        <v>51</v>
      </c>
      <c r="H106" s="61" t="n">
        <v>2</v>
      </c>
      <c r="I106" s="62" t="n">
        <v>209900</v>
      </c>
      <c r="J106" s="63" t="n">
        <f aca="false">H106*I106</f>
        <v>419800</v>
      </c>
      <c r="K106" s="64" t="n">
        <v>0.05</v>
      </c>
      <c r="L106" s="63" t="n">
        <f aca="false">J106*(1-K106)</f>
        <v>398810</v>
      </c>
      <c r="M106" s="62" t="n">
        <v>295119.4</v>
      </c>
      <c r="N106" s="63" t="n">
        <f aca="false">L106-M106</f>
        <v>103690.6</v>
      </c>
      <c r="O106" s="65" t="n">
        <f aca="false">IF(L106=0,0,N106/L106)</f>
        <v>0.26</v>
      </c>
      <c r="P106" s="63" t="n">
        <f aca="false">J106-L106</f>
        <v>20990</v>
      </c>
      <c r="Q106" s="66" t="n">
        <v>4.3</v>
      </c>
      <c r="R106" s="67" t="str">
        <f aca="false">IF(L106&gt;='What-If Lab'!$C$8,"Large",IF(L106&gt;='What-If Lab'!$C$9,"Medium","Small"))</f>
        <v>Small</v>
      </c>
    </row>
    <row r="107" customFormat="false" ht="15" hidden="false" customHeight="false" outlineLevel="0" collapsed="false">
      <c r="A107" s="58" t="s">
        <v>249</v>
      </c>
      <c r="B107" s="59" t="n">
        <v>46229</v>
      </c>
      <c r="C107" s="60" t="n">
        <f aca="false">MONTH(B107)</f>
        <v>7</v>
      </c>
      <c r="D107" s="58" t="s">
        <v>60</v>
      </c>
      <c r="E107" s="58" t="s">
        <v>59</v>
      </c>
      <c r="F107" s="58" t="s">
        <v>91</v>
      </c>
      <c r="G107" s="58" t="s">
        <v>49</v>
      </c>
      <c r="H107" s="61" t="n">
        <v>1</v>
      </c>
      <c r="I107" s="62" t="n">
        <v>293500</v>
      </c>
      <c r="J107" s="63" t="n">
        <f aca="false">H107*I107</f>
        <v>293500</v>
      </c>
      <c r="K107" s="64" t="n">
        <v>0.05</v>
      </c>
      <c r="L107" s="63" t="n">
        <f aca="false">J107*(1-K107)</f>
        <v>278825</v>
      </c>
      <c r="M107" s="62" t="n">
        <v>217483.5</v>
      </c>
      <c r="N107" s="63" t="n">
        <f aca="false">L107-M107</f>
        <v>61341.5</v>
      </c>
      <c r="O107" s="65" t="n">
        <f aca="false">IF(L107=0,0,N107/L107)</f>
        <v>0.22</v>
      </c>
      <c r="P107" s="63" t="n">
        <f aca="false">J107-L107</f>
        <v>14675</v>
      </c>
      <c r="Q107" s="66" t="n">
        <v>3.5</v>
      </c>
      <c r="R107" s="67" t="str">
        <f aca="false">IF(L107&gt;='What-If Lab'!$C$8,"Large",IF(L107&gt;='What-If Lab'!$C$9,"Medium","Small"))</f>
        <v>Small</v>
      </c>
    </row>
    <row r="108" customFormat="false" ht="15" hidden="false" customHeight="false" outlineLevel="0" collapsed="false">
      <c r="A108" s="58" t="s">
        <v>250</v>
      </c>
      <c r="B108" s="59" t="n">
        <v>46027</v>
      </c>
      <c r="C108" s="60" t="n">
        <f aca="false">MONTH(B108)</f>
        <v>1</v>
      </c>
      <c r="D108" s="58" t="s">
        <v>66</v>
      </c>
      <c r="E108" s="58" t="s">
        <v>63</v>
      </c>
      <c r="F108" s="58" t="s">
        <v>91</v>
      </c>
      <c r="G108" s="58" t="s">
        <v>43</v>
      </c>
      <c r="H108" s="61" t="n">
        <v>1</v>
      </c>
      <c r="I108" s="62" t="n">
        <v>66600</v>
      </c>
      <c r="J108" s="63" t="n">
        <f aca="false">H108*I108</f>
        <v>66600</v>
      </c>
      <c r="K108" s="64" t="n">
        <v>0</v>
      </c>
      <c r="L108" s="63" t="n">
        <f aca="false">J108*(1-K108)</f>
        <v>66600</v>
      </c>
      <c r="M108" s="62" t="n">
        <v>41292</v>
      </c>
      <c r="N108" s="63" t="n">
        <f aca="false">L108-M108</f>
        <v>25308</v>
      </c>
      <c r="O108" s="65" t="n">
        <f aca="false">IF(L108=0,0,N108/L108)</f>
        <v>0.38</v>
      </c>
      <c r="P108" s="63" t="n">
        <f aca="false">J108-L108</f>
        <v>0</v>
      </c>
      <c r="Q108" s="66" t="n">
        <v>4.1</v>
      </c>
      <c r="R108" s="67" t="str">
        <f aca="false">IF(L108&gt;='What-If Lab'!$C$8,"Large",IF(L108&gt;='What-If Lab'!$C$9,"Medium","Small"))</f>
        <v>Small</v>
      </c>
    </row>
    <row r="109" customFormat="false" ht="15" hidden="false" customHeight="false" outlineLevel="0" collapsed="false">
      <c r="A109" s="58" t="s">
        <v>251</v>
      </c>
      <c r="B109" s="59" t="n">
        <v>46103</v>
      </c>
      <c r="C109" s="60" t="n">
        <f aca="false">MONTH(B109)</f>
        <v>3</v>
      </c>
      <c r="D109" s="58" t="s">
        <v>62</v>
      </c>
      <c r="E109" s="58" t="s">
        <v>65</v>
      </c>
      <c r="F109" s="58" t="s">
        <v>90</v>
      </c>
      <c r="G109" s="58" t="s">
        <v>45</v>
      </c>
      <c r="H109" s="61" t="n">
        <v>2</v>
      </c>
      <c r="I109" s="62" t="n">
        <v>512200</v>
      </c>
      <c r="J109" s="63" t="n">
        <f aca="false">H109*I109</f>
        <v>1024400</v>
      </c>
      <c r="K109" s="64" t="n">
        <v>0</v>
      </c>
      <c r="L109" s="63" t="n">
        <f aca="false">J109*(1-K109)</f>
        <v>1024400</v>
      </c>
      <c r="M109" s="62" t="n">
        <v>778544</v>
      </c>
      <c r="N109" s="63" t="n">
        <f aca="false">L109-M109</f>
        <v>245856</v>
      </c>
      <c r="O109" s="65" t="n">
        <f aca="false">IF(L109=0,0,N109/L109)</f>
        <v>0.24</v>
      </c>
      <c r="P109" s="63" t="n">
        <f aca="false">J109-L109</f>
        <v>0</v>
      </c>
      <c r="Q109" s="66" t="n">
        <v>3</v>
      </c>
      <c r="R109" s="67" t="str">
        <f aca="false">IF(L109&gt;='What-If Lab'!$C$8,"Large",IF(L109&gt;='What-If Lab'!$C$9,"Medium","Small"))</f>
        <v>Medium</v>
      </c>
    </row>
    <row r="110" customFormat="false" ht="15" hidden="false" customHeight="false" outlineLevel="0" collapsed="false">
      <c r="A110" s="58" t="s">
        <v>252</v>
      </c>
      <c r="B110" s="59" t="n">
        <v>46247</v>
      </c>
      <c r="C110" s="60" t="n">
        <f aca="false">MONTH(B110)</f>
        <v>8</v>
      </c>
      <c r="D110" s="58" t="s">
        <v>64</v>
      </c>
      <c r="E110" s="58" t="s">
        <v>63</v>
      </c>
      <c r="F110" s="58" t="s">
        <v>90</v>
      </c>
      <c r="G110" s="58" t="s">
        <v>49</v>
      </c>
      <c r="H110" s="61" t="n">
        <v>3</v>
      </c>
      <c r="I110" s="62" t="n">
        <v>333000</v>
      </c>
      <c r="J110" s="63" t="n">
        <f aca="false">H110*I110</f>
        <v>999000</v>
      </c>
      <c r="K110" s="64" t="n">
        <v>0.08</v>
      </c>
      <c r="L110" s="63" t="n">
        <f aca="false">J110*(1-K110)</f>
        <v>919080</v>
      </c>
      <c r="M110" s="62" t="n">
        <v>716882.4</v>
      </c>
      <c r="N110" s="63" t="n">
        <f aca="false">L110-M110</f>
        <v>202197.6</v>
      </c>
      <c r="O110" s="65" t="n">
        <f aca="false">IF(L110=0,0,N110/L110)</f>
        <v>0.22</v>
      </c>
      <c r="P110" s="63" t="n">
        <f aca="false">J110-L110</f>
        <v>79920</v>
      </c>
      <c r="Q110" s="66" t="n">
        <v>4</v>
      </c>
      <c r="R110" s="67" t="str">
        <f aca="false">IF(L110&gt;='What-If Lab'!$C$8,"Large",IF(L110&gt;='What-If Lab'!$C$9,"Medium","Small"))</f>
        <v>Medium</v>
      </c>
    </row>
    <row r="111" customFormat="false" ht="15" hidden="false" customHeight="false" outlineLevel="0" collapsed="false">
      <c r="A111" s="58" t="s">
        <v>253</v>
      </c>
      <c r="B111" s="59" t="n">
        <v>46282</v>
      </c>
      <c r="C111" s="60" t="n">
        <f aca="false">MONTH(B111)</f>
        <v>9</v>
      </c>
      <c r="D111" s="58" t="s">
        <v>58</v>
      </c>
      <c r="E111" s="58" t="s">
        <v>59</v>
      </c>
      <c r="F111" s="58" t="s">
        <v>91</v>
      </c>
      <c r="G111" s="58" t="s">
        <v>47</v>
      </c>
      <c r="H111" s="61" t="n">
        <v>3</v>
      </c>
      <c r="I111" s="62" t="n">
        <v>187700</v>
      </c>
      <c r="J111" s="63" t="n">
        <f aca="false">H111*I111</f>
        <v>563100</v>
      </c>
      <c r="K111" s="64" t="n">
        <v>0</v>
      </c>
      <c r="L111" s="63" t="n">
        <f aca="false">J111*(1-K111)</f>
        <v>563100</v>
      </c>
      <c r="M111" s="62" t="n">
        <v>394170</v>
      </c>
      <c r="N111" s="63" t="n">
        <f aca="false">L111-M111</f>
        <v>168930</v>
      </c>
      <c r="O111" s="65" t="n">
        <f aca="false">IF(L111=0,0,N111/L111)</f>
        <v>0.3</v>
      </c>
      <c r="P111" s="63" t="n">
        <f aca="false">J111-L111</f>
        <v>0</v>
      </c>
      <c r="Q111" s="66" t="n">
        <v>4</v>
      </c>
      <c r="R111" s="67" t="str">
        <f aca="false">IF(L111&gt;='What-If Lab'!$C$8,"Large",IF(L111&gt;='What-If Lab'!$C$9,"Medium","Small"))</f>
        <v>Medium</v>
      </c>
    </row>
    <row r="112" customFormat="false" ht="15" hidden="false" customHeight="false" outlineLevel="0" collapsed="false">
      <c r="A112" s="58" t="s">
        <v>254</v>
      </c>
      <c r="B112" s="59" t="n">
        <v>46261</v>
      </c>
      <c r="C112" s="60" t="n">
        <f aca="false">MONTH(B112)</f>
        <v>8</v>
      </c>
      <c r="D112" s="58" t="s">
        <v>60</v>
      </c>
      <c r="E112" s="58" t="s">
        <v>59</v>
      </c>
      <c r="F112" s="58" t="s">
        <v>91</v>
      </c>
      <c r="G112" s="58" t="s">
        <v>45</v>
      </c>
      <c r="H112" s="61" t="n">
        <v>2</v>
      </c>
      <c r="I112" s="62" t="n">
        <v>529000</v>
      </c>
      <c r="J112" s="63" t="n">
        <f aca="false">H112*I112</f>
        <v>1058000</v>
      </c>
      <c r="K112" s="64" t="n">
        <v>0.03</v>
      </c>
      <c r="L112" s="63" t="n">
        <f aca="false">J112*(1-K112)</f>
        <v>1026260</v>
      </c>
      <c r="M112" s="62" t="n">
        <v>779957.6</v>
      </c>
      <c r="N112" s="63" t="n">
        <f aca="false">L112-M112</f>
        <v>246302.4</v>
      </c>
      <c r="O112" s="65" t="n">
        <f aca="false">IF(L112=0,0,N112/L112)</f>
        <v>0.24</v>
      </c>
      <c r="P112" s="63" t="n">
        <f aca="false">J112-L112</f>
        <v>31740</v>
      </c>
      <c r="Q112" s="66" t="n">
        <v>3.7</v>
      </c>
      <c r="R112" s="67" t="str">
        <f aca="false">IF(L112&gt;='What-If Lab'!$C$8,"Large",IF(L112&gt;='What-If Lab'!$C$9,"Medium","Small"))</f>
        <v>Medium</v>
      </c>
    </row>
    <row r="113" customFormat="false" ht="15" hidden="false" customHeight="false" outlineLevel="0" collapsed="false">
      <c r="A113" s="58" t="s">
        <v>255</v>
      </c>
      <c r="B113" s="59" t="n">
        <v>46088</v>
      </c>
      <c r="C113" s="60" t="n">
        <f aca="false">MONTH(B113)</f>
        <v>3</v>
      </c>
      <c r="D113" s="58" t="s">
        <v>62</v>
      </c>
      <c r="E113" s="58" t="s">
        <v>63</v>
      </c>
      <c r="F113" s="58" t="s">
        <v>90</v>
      </c>
      <c r="G113" s="58" t="s">
        <v>43</v>
      </c>
      <c r="H113" s="61" t="n">
        <v>5</v>
      </c>
      <c r="I113" s="62" t="n">
        <v>59600</v>
      </c>
      <c r="J113" s="63" t="n">
        <f aca="false">H113*I113</f>
        <v>298000</v>
      </c>
      <c r="K113" s="64" t="n">
        <v>0</v>
      </c>
      <c r="L113" s="63" t="n">
        <f aca="false">J113*(1-K113)</f>
        <v>298000</v>
      </c>
      <c r="M113" s="62" t="n">
        <v>184760</v>
      </c>
      <c r="N113" s="63" t="n">
        <f aca="false">L113-M113</f>
        <v>113240</v>
      </c>
      <c r="O113" s="65" t="n">
        <f aca="false">IF(L113=0,0,N113/L113)</f>
        <v>0.38</v>
      </c>
      <c r="P113" s="63" t="n">
        <f aca="false">J113-L113</f>
        <v>0</v>
      </c>
      <c r="Q113" s="66" t="n">
        <v>4</v>
      </c>
      <c r="R113" s="67" t="str">
        <f aca="false">IF(L113&gt;='What-If Lab'!$C$8,"Large",IF(L113&gt;='What-If Lab'!$C$9,"Medium","Small"))</f>
        <v>Small</v>
      </c>
    </row>
    <row r="114" customFormat="false" ht="15" hidden="false" customHeight="false" outlineLevel="0" collapsed="false">
      <c r="A114" s="58" t="s">
        <v>256</v>
      </c>
      <c r="B114" s="59" t="n">
        <v>46167</v>
      </c>
      <c r="C114" s="60" t="n">
        <f aca="false">MONTH(B114)</f>
        <v>5</v>
      </c>
      <c r="D114" s="58" t="s">
        <v>58</v>
      </c>
      <c r="E114" s="58" t="s">
        <v>65</v>
      </c>
      <c r="F114" s="58" t="s">
        <v>91</v>
      </c>
      <c r="G114" s="58" t="s">
        <v>43</v>
      </c>
      <c r="H114" s="61" t="n">
        <v>2</v>
      </c>
      <c r="I114" s="62" t="n">
        <v>63200</v>
      </c>
      <c r="J114" s="63" t="n">
        <f aca="false">H114*I114</f>
        <v>126400</v>
      </c>
      <c r="K114" s="64" t="n">
        <v>0.05</v>
      </c>
      <c r="L114" s="63" t="n">
        <f aca="false">J114*(1-K114)</f>
        <v>120080</v>
      </c>
      <c r="M114" s="62" t="n">
        <v>74449.6</v>
      </c>
      <c r="N114" s="63" t="n">
        <f aca="false">L114-M114</f>
        <v>45630.4</v>
      </c>
      <c r="O114" s="65" t="n">
        <f aca="false">IF(L114=0,0,N114/L114)</f>
        <v>0.38</v>
      </c>
      <c r="P114" s="63" t="n">
        <f aca="false">J114-L114</f>
        <v>6320</v>
      </c>
      <c r="Q114" s="66" t="n">
        <v>3.8</v>
      </c>
      <c r="R114" s="67" t="str">
        <f aca="false">IF(L114&gt;='What-If Lab'!$C$8,"Large",IF(L114&gt;='What-If Lab'!$C$9,"Medium","Small"))</f>
        <v>Small</v>
      </c>
    </row>
    <row r="115" customFormat="false" ht="15" hidden="false" customHeight="false" outlineLevel="0" collapsed="false">
      <c r="A115" s="58" t="s">
        <v>257</v>
      </c>
      <c r="B115" s="59" t="n">
        <v>46256</v>
      </c>
      <c r="C115" s="60" t="n">
        <f aca="false">MONTH(B115)</f>
        <v>8</v>
      </c>
      <c r="D115" s="58" t="s">
        <v>62</v>
      </c>
      <c r="E115" s="58" t="s">
        <v>63</v>
      </c>
      <c r="F115" s="58" t="s">
        <v>91</v>
      </c>
      <c r="G115" s="58" t="s">
        <v>47</v>
      </c>
      <c r="H115" s="61" t="n">
        <v>1</v>
      </c>
      <c r="I115" s="62" t="n">
        <v>196700</v>
      </c>
      <c r="J115" s="63" t="n">
        <f aca="false">H115*I115</f>
        <v>196700</v>
      </c>
      <c r="K115" s="64" t="n">
        <v>0.05</v>
      </c>
      <c r="L115" s="63" t="n">
        <f aca="false">J115*(1-K115)</f>
        <v>186865</v>
      </c>
      <c r="M115" s="62" t="n">
        <v>130805.5</v>
      </c>
      <c r="N115" s="63" t="n">
        <f aca="false">L115-M115</f>
        <v>56059.5</v>
      </c>
      <c r="O115" s="65" t="n">
        <f aca="false">IF(L115=0,0,N115/L115)</f>
        <v>0.3</v>
      </c>
      <c r="P115" s="63" t="n">
        <f aca="false">J115-L115</f>
        <v>9835</v>
      </c>
      <c r="Q115" s="66" t="n">
        <v>4.7</v>
      </c>
      <c r="R115" s="67" t="str">
        <f aca="false">IF(L115&gt;='What-If Lab'!$C$8,"Large",IF(L115&gt;='What-If Lab'!$C$9,"Medium","Small"))</f>
        <v>Small</v>
      </c>
    </row>
    <row r="116" customFormat="false" ht="15" hidden="false" customHeight="false" outlineLevel="0" collapsed="false">
      <c r="A116" s="58" t="s">
        <v>258</v>
      </c>
      <c r="B116" s="59" t="n">
        <v>46213</v>
      </c>
      <c r="C116" s="60" t="n">
        <f aca="false">MONTH(B116)</f>
        <v>7</v>
      </c>
      <c r="D116" s="58" t="s">
        <v>58</v>
      </c>
      <c r="E116" s="58" t="s">
        <v>59</v>
      </c>
      <c r="F116" s="58" t="s">
        <v>90</v>
      </c>
      <c r="G116" s="58" t="s">
        <v>49</v>
      </c>
      <c r="H116" s="61" t="n">
        <v>5</v>
      </c>
      <c r="I116" s="62" t="n">
        <v>310600</v>
      </c>
      <c r="J116" s="63" t="n">
        <f aca="false">H116*I116</f>
        <v>1553000</v>
      </c>
      <c r="K116" s="64" t="n">
        <v>0</v>
      </c>
      <c r="L116" s="63" t="n">
        <f aca="false">J116*(1-K116)</f>
        <v>1553000</v>
      </c>
      <c r="M116" s="62" t="n">
        <v>1211340</v>
      </c>
      <c r="N116" s="63" t="n">
        <f aca="false">L116-M116</f>
        <v>341660</v>
      </c>
      <c r="O116" s="65" t="n">
        <f aca="false">IF(L116=0,0,N116/L116)</f>
        <v>0.22</v>
      </c>
      <c r="P116" s="63" t="n">
        <f aca="false">J116-L116</f>
        <v>0</v>
      </c>
      <c r="Q116" s="66" t="n">
        <v>3.8</v>
      </c>
      <c r="R116" s="67" t="str">
        <f aca="false">IF(L116&gt;='What-If Lab'!$C$8,"Large",IF(L116&gt;='What-If Lab'!$C$9,"Medium","Small"))</f>
        <v>Large</v>
      </c>
    </row>
    <row r="117" customFormat="false" ht="15" hidden="false" customHeight="false" outlineLevel="0" collapsed="false">
      <c r="A117" s="58" t="s">
        <v>259</v>
      </c>
      <c r="B117" s="59" t="n">
        <v>46094</v>
      </c>
      <c r="C117" s="60" t="n">
        <f aca="false">MONTH(B117)</f>
        <v>3</v>
      </c>
      <c r="D117" s="58" t="s">
        <v>66</v>
      </c>
      <c r="E117" s="58" t="s">
        <v>65</v>
      </c>
      <c r="F117" s="58" t="s">
        <v>90</v>
      </c>
      <c r="G117" s="58" t="s">
        <v>45</v>
      </c>
      <c r="H117" s="61" t="n">
        <v>4</v>
      </c>
      <c r="I117" s="62" t="n">
        <v>526300</v>
      </c>
      <c r="J117" s="63" t="n">
        <f aca="false">H117*I117</f>
        <v>2105200</v>
      </c>
      <c r="K117" s="64" t="n">
        <v>0.05</v>
      </c>
      <c r="L117" s="63" t="n">
        <f aca="false">J117*(1-K117)</f>
        <v>1999940</v>
      </c>
      <c r="M117" s="62" t="n">
        <v>1519954.4</v>
      </c>
      <c r="N117" s="63" t="n">
        <f aca="false">L117-M117</f>
        <v>479985.6</v>
      </c>
      <c r="O117" s="65" t="n">
        <f aca="false">IF(L117=0,0,N117/L117)</f>
        <v>0.24</v>
      </c>
      <c r="P117" s="63" t="n">
        <f aca="false">J117-L117</f>
        <v>105260</v>
      </c>
      <c r="Q117" s="66" t="n">
        <v>3.7</v>
      </c>
      <c r="R117" s="67" t="str">
        <f aca="false">IF(L117&gt;='What-If Lab'!$C$8,"Large",IF(L117&gt;='What-If Lab'!$C$9,"Medium","Small"))</f>
        <v>Large</v>
      </c>
    </row>
    <row r="118" customFormat="false" ht="15" hidden="false" customHeight="false" outlineLevel="0" collapsed="false">
      <c r="A118" s="58" t="s">
        <v>260</v>
      </c>
      <c r="B118" s="59" t="n">
        <v>46039</v>
      </c>
      <c r="C118" s="60" t="n">
        <f aca="false">MONTH(B118)</f>
        <v>1</v>
      </c>
      <c r="D118" s="58" t="s">
        <v>62</v>
      </c>
      <c r="E118" s="58" t="s">
        <v>63</v>
      </c>
      <c r="F118" s="58" t="s">
        <v>90</v>
      </c>
      <c r="G118" s="58" t="s">
        <v>43</v>
      </c>
      <c r="H118" s="61" t="n">
        <v>1</v>
      </c>
      <c r="I118" s="62" t="n">
        <v>63100</v>
      </c>
      <c r="J118" s="63" t="n">
        <f aca="false">H118*I118</f>
        <v>63100</v>
      </c>
      <c r="K118" s="64" t="n">
        <v>0.05</v>
      </c>
      <c r="L118" s="63" t="n">
        <f aca="false">J118*(1-K118)</f>
        <v>59945</v>
      </c>
      <c r="M118" s="62" t="n">
        <v>37165.9</v>
      </c>
      <c r="N118" s="63" t="n">
        <f aca="false">L118-M118</f>
        <v>22779.1</v>
      </c>
      <c r="O118" s="65" t="n">
        <f aca="false">IF(L118=0,0,N118/L118)</f>
        <v>0.38</v>
      </c>
      <c r="P118" s="63" t="n">
        <f aca="false">J118-L118</f>
        <v>3155</v>
      </c>
      <c r="Q118" s="66" t="n">
        <v>4.8</v>
      </c>
      <c r="R118" s="67" t="str">
        <f aca="false">IF(L118&gt;='What-If Lab'!$C$8,"Large",IF(L118&gt;='What-If Lab'!$C$9,"Medium","Small"))</f>
        <v>Small</v>
      </c>
    </row>
    <row r="119" customFormat="false" ht="15" hidden="false" customHeight="false" outlineLevel="0" collapsed="false">
      <c r="A119" s="58" t="s">
        <v>261</v>
      </c>
      <c r="B119" s="59" t="n">
        <v>46167</v>
      </c>
      <c r="C119" s="60" t="n">
        <f aca="false">MONTH(B119)</f>
        <v>5</v>
      </c>
      <c r="D119" s="58" t="s">
        <v>62</v>
      </c>
      <c r="E119" s="58" t="s">
        <v>65</v>
      </c>
      <c r="F119" s="58" t="s">
        <v>90</v>
      </c>
      <c r="G119" s="58" t="s">
        <v>47</v>
      </c>
      <c r="H119" s="61" t="n">
        <v>3</v>
      </c>
      <c r="I119" s="62" t="n">
        <v>175000</v>
      </c>
      <c r="J119" s="63" t="n">
        <f aca="false">H119*I119</f>
        <v>525000</v>
      </c>
      <c r="K119" s="64" t="n">
        <v>0.05</v>
      </c>
      <c r="L119" s="63" t="n">
        <f aca="false">J119*(1-K119)</f>
        <v>498750</v>
      </c>
      <c r="M119" s="62" t="n">
        <v>349125</v>
      </c>
      <c r="N119" s="63" t="n">
        <f aca="false">L119-M119</f>
        <v>149625</v>
      </c>
      <c r="O119" s="65" t="n">
        <f aca="false">IF(L119=0,0,N119/L119)</f>
        <v>0.3</v>
      </c>
      <c r="P119" s="63" t="n">
        <f aca="false">J119-L119</f>
        <v>26250</v>
      </c>
      <c r="Q119" s="66" t="n">
        <v>4.2</v>
      </c>
      <c r="R119" s="67" t="str">
        <f aca="false">IF(L119&gt;='What-If Lab'!$C$8,"Large",IF(L119&gt;='What-If Lab'!$C$9,"Medium","Small"))</f>
        <v>Small</v>
      </c>
    </row>
    <row r="120" customFormat="false" ht="15" hidden="false" customHeight="false" outlineLevel="0" collapsed="false">
      <c r="A120" s="58" t="s">
        <v>262</v>
      </c>
      <c r="B120" s="59" t="n">
        <v>46106</v>
      </c>
      <c r="C120" s="60" t="n">
        <f aca="false">MONTH(B120)</f>
        <v>3</v>
      </c>
      <c r="D120" s="58" t="s">
        <v>66</v>
      </c>
      <c r="E120" s="58" t="s">
        <v>59</v>
      </c>
      <c r="F120" s="58" t="s">
        <v>90</v>
      </c>
      <c r="G120" s="58" t="s">
        <v>51</v>
      </c>
      <c r="H120" s="61" t="n">
        <v>1</v>
      </c>
      <c r="I120" s="62" t="n">
        <v>193700</v>
      </c>
      <c r="J120" s="63" t="n">
        <f aca="false">H120*I120</f>
        <v>193700</v>
      </c>
      <c r="K120" s="64" t="n">
        <v>0.05</v>
      </c>
      <c r="L120" s="63" t="n">
        <f aca="false">J120*(1-K120)</f>
        <v>184015</v>
      </c>
      <c r="M120" s="62" t="n">
        <v>136171.1</v>
      </c>
      <c r="N120" s="63" t="n">
        <f aca="false">L120-M120</f>
        <v>47843.9</v>
      </c>
      <c r="O120" s="65" t="n">
        <f aca="false">IF(L120=0,0,N120/L120)</f>
        <v>0.26</v>
      </c>
      <c r="P120" s="63" t="n">
        <f aca="false">J120-L120</f>
        <v>9685</v>
      </c>
      <c r="Q120" s="66" t="n">
        <v>5</v>
      </c>
      <c r="R120" s="67" t="str">
        <f aca="false">IF(L120&gt;='What-If Lab'!$C$8,"Large",IF(L120&gt;='What-If Lab'!$C$9,"Medium","Small"))</f>
        <v>Small</v>
      </c>
    </row>
    <row r="121" customFormat="false" ht="15" hidden="false" customHeight="false" outlineLevel="0" collapsed="false">
      <c r="A121" s="58" t="s">
        <v>263</v>
      </c>
      <c r="B121" s="59" t="n">
        <v>46191</v>
      </c>
      <c r="C121" s="60" t="n">
        <f aca="false">MONTH(B121)</f>
        <v>6</v>
      </c>
      <c r="D121" s="58" t="s">
        <v>66</v>
      </c>
      <c r="E121" s="58" t="s">
        <v>59</v>
      </c>
      <c r="F121" s="58" t="s">
        <v>90</v>
      </c>
      <c r="G121" s="58" t="s">
        <v>45</v>
      </c>
      <c r="H121" s="61" t="n">
        <v>5</v>
      </c>
      <c r="I121" s="62" t="n">
        <v>496600</v>
      </c>
      <c r="J121" s="63" t="n">
        <f aca="false">H121*I121</f>
        <v>2483000</v>
      </c>
      <c r="K121" s="64" t="n">
        <v>0.08</v>
      </c>
      <c r="L121" s="63" t="n">
        <f aca="false">J121*(1-K121)</f>
        <v>2284360</v>
      </c>
      <c r="M121" s="62" t="n">
        <v>1736113.6</v>
      </c>
      <c r="N121" s="63" t="n">
        <f aca="false">L121-M121</f>
        <v>548246.4</v>
      </c>
      <c r="O121" s="65" t="n">
        <f aca="false">IF(L121=0,0,N121/L121)</f>
        <v>0.24</v>
      </c>
      <c r="P121" s="63" t="n">
        <f aca="false">J121-L121</f>
        <v>198640</v>
      </c>
      <c r="Q121" s="66" t="n">
        <v>4.3</v>
      </c>
      <c r="R121" s="67" t="str">
        <f aca="false">IF(L121&gt;='What-If Lab'!$C$8,"Large",IF(L121&gt;='What-If Lab'!$C$9,"Medium","Small"))</f>
        <v>Large</v>
      </c>
    </row>
    <row r="122" customFormat="false" ht="15" hidden="false" customHeight="false" outlineLevel="0" collapsed="false">
      <c r="A122" s="58" t="s">
        <v>264</v>
      </c>
      <c r="B122" s="59" t="n">
        <v>46160</v>
      </c>
      <c r="C122" s="60" t="n">
        <f aca="false">MONTH(B122)</f>
        <v>5</v>
      </c>
      <c r="D122" s="58" t="s">
        <v>60</v>
      </c>
      <c r="E122" s="58" t="s">
        <v>63</v>
      </c>
      <c r="F122" s="58" t="s">
        <v>90</v>
      </c>
      <c r="G122" s="58" t="s">
        <v>45</v>
      </c>
      <c r="H122" s="61" t="n">
        <v>2</v>
      </c>
      <c r="I122" s="62" t="n">
        <v>520800</v>
      </c>
      <c r="J122" s="63" t="n">
        <f aca="false">H122*I122</f>
        <v>1041600</v>
      </c>
      <c r="K122" s="64" t="n">
        <v>0</v>
      </c>
      <c r="L122" s="63" t="n">
        <f aca="false">J122*(1-K122)</f>
        <v>1041600</v>
      </c>
      <c r="M122" s="62" t="n">
        <v>791616</v>
      </c>
      <c r="N122" s="63" t="n">
        <f aca="false">L122-M122</f>
        <v>249984</v>
      </c>
      <c r="O122" s="65" t="n">
        <f aca="false">IF(L122=0,0,N122/L122)</f>
        <v>0.24</v>
      </c>
      <c r="P122" s="63" t="n">
        <f aca="false">J122-L122</f>
        <v>0</v>
      </c>
      <c r="Q122" s="66" t="n">
        <v>3.8</v>
      </c>
      <c r="R122" s="67" t="str">
        <f aca="false">IF(L122&gt;='What-If Lab'!$C$8,"Large",IF(L122&gt;='What-If Lab'!$C$9,"Medium","Small"))</f>
        <v>Medium</v>
      </c>
    </row>
    <row r="123" customFormat="false" ht="15" hidden="false" customHeight="false" outlineLevel="0" collapsed="false">
      <c r="A123" s="58" t="s">
        <v>265</v>
      </c>
      <c r="B123" s="59" t="n">
        <v>46251</v>
      </c>
      <c r="C123" s="60" t="n">
        <f aca="false">MONTH(B123)</f>
        <v>8</v>
      </c>
      <c r="D123" s="58" t="s">
        <v>66</v>
      </c>
      <c r="E123" s="58" t="s">
        <v>59</v>
      </c>
      <c r="F123" s="58" t="s">
        <v>92</v>
      </c>
      <c r="G123" s="58" t="s">
        <v>47</v>
      </c>
      <c r="H123" s="61" t="n">
        <v>2</v>
      </c>
      <c r="I123" s="62" t="n">
        <v>197400</v>
      </c>
      <c r="J123" s="63" t="n">
        <f aca="false">H123*I123</f>
        <v>394800</v>
      </c>
      <c r="K123" s="64" t="n">
        <v>0</v>
      </c>
      <c r="L123" s="63" t="n">
        <f aca="false">J123*(1-K123)</f>
        <v>394800</v>
      </c>
      <c r="M123" s="62" t="n">
        <v>276360</v>
      </c>
      <c r="N123" s="63" t="n">
        <f aca="false">L123-M123</f>
        <v>118440</v>
      </c>
      <c r="O123" s="65" t="n">
        <f aca="false">IF(L123=0,0,N123/L123)</f>
        <v>0.3</v>
      </c>
      <c r="P123" s="63" t="n">
        <f aca="false">J123-L123</f>
        <v>0</v>
      </c>
      <c r="Q123" s="66" t="n">
        <v>4.4</v>
      </c>
      <c r="R123" s="67" t="str">
        <f aca="false">IF(L123&gt;='What-If Lab'!$C$8,"Large",IF(L123&gt;='What-If Lab'!$C$9,"Medium","Small"))</f>
        <v>Small</v>
      </c>
    </row>
    <row r="124" customFormat="false" ht="15" hidden="false" customHeight="false" outlineLevel="0" collapsed="false">
      <c r="A124" s="58" t="s">
        <v>266</v>
      </c>
      <c r="B124" s="59" t="n">
        <v>46188</v>
      </c>
      <c r="C124" s="60" t="n">
        <f aca="false">MONTH(B124)</f>
        <v>6</v>
      </c>
      <c r="D124" s="58" t="s">
        <v>64</v>
      </c>
      <c r="E124" s="58" t="s">
        <v>61</v>
      </c>
      <c r="F124" s="58" t="s">
        <v>91</v>
      </c>
      <c r="G124" s="58" t="s">
        <v>47</v>
      </c>
      <c r="H124" s="61" t="n">
        <v>4</v>
      </c>
      <c r="I124" s="62" t="n">
        <v>169400</v>
      </c>
      <c r="J124" s="63" t="n">
        <f aca="false">H124*I124</f>
        <v>677600</v>
      </c>
      <c r="K124" s="64" t="n">
        <v>0.1</v>
      </c>
      <c r="L124" s="63" t="n">
        <f aca="false">J124*(1-K124)</f>
        <v>609840</v>
      </c>
      <c r="M124" s="62" t="n">
        <v>426888</v>
      </c>
      <c r="N124" s="63" t="n">
        <f aca="false">L124-M124</f>
        <v>182952</v>
      </c>
      <c r="O124" s="65" t="n">
        <f aca="false">IF(L124=0,0,N124/L124)</f>
        <v>0.3</v>
      </c>
      <c r="P124" s="63" t="n">
        <f aca="false">J124-L124</f>
        <v>67760</v>
      </c>
      <c r="Q124" s="66" t="n">
        <v>4.3</v>
      </c>
      <c r="R124" s="67" t="str">
        <f aca="false">IF(L124&gt;='What-If Lab'!$C$8,"Large",IF(L124&gt;='What-If Lab'!$C$9,"Medium","Small"))</f>
        <v>Medium</v>
      </c>
    </row>
    <row r="125" customFormat="false" ht="15" hidden="false" customHeight="false" outlineLevel="0" collapsed="false">
      <c r="A125" s="58" t="s">
        <v>267</v>
      </c>
      <c r="B125" s="59" t="n">
        <v>46182</v>
      </c>
      <c r="C125" s="60" t="n">
        <f aca="false">MONTH(B125)</f>
        <v>6</v>
      </c>
      <c r="D125" s="58" t="s">
        <v>60</v>
      </c>
      <c r="E125" s="58" t="s">
        <v>61</v>
      </c>
      <c r="F125" s="58" t="s">
        <v>92</v>
      </c>
      <c r="G125" s="58" t="s">
        <v>51</v>
      </c>
      <c r="H125" s="61" t="n">
        <v>1</v>
      </c>
      <c r="I125" s="62" t="n">
        <v>212000</v>
      </c>
      <c r="J125" s="63" t="n">
        <f aca="false">H125*I125</f>
        <v>212000</v>
      </c>
      <c r="K125" s="64" t="n">
        <v>0.1</v>
      </c>
      <c r="L125" s="63" t="n">
        <f aca="false">J125*(1-K125)</f>
        <v>190800</v>
      </c>
      <c r="M125" s="62" t="n">
        <v>141192</v>
      </c>
      <c r="N125" s="63" t="n">
        <f aca="false">L125-M125</f>
        <v>49608</v>
      </c>
      <c r="O125" s="65" t="n">
        <f aca="false">IF(L125=0,0,N125/L125)</f>
        <v>0.26</v>
      </c>
      <c r="P125" s="63" t="n">
        <f aca="false">J125-L125</f>
        <v>21200</v>
      </c>
      <c r="Q125" s="66" t="n">
        <v>4.3</v>
      </c>
      <c r="R125" s="67" t="str">
        <f aca="false">IF(L125&gt;='What-If Lab'!$C$8,"Large",IF(L125&gt;='What-If Lab'!$C$9,"Medium","Small"))</f>
        <v>Small</v>
      </c>
    </row>
    <row r="126" customFormat="false" ht="15" hidden="false" customHeight="false" outlineLevel="0" collapsed="false">
      <c r="A126" s="58" t="s">
        <v>268</v>
      </c>
      <c r="B126" s="59" t="n">
        <v>46234</v>
      </c>
      <c r="C126" s="60" t="n">
        <f aca="false">MONTH(B126)</f>
        <v>7</v>
      </c>
      <c r="D126" s="58" t="s">
        <v>62</v>
      </c>
      <c r="E126" s="58" t="s">
        <v>63</v>
      </c>
      <c r="F126" s="58" t="s">
        <v>90</v>
      </c>
      <c r="G126" s="58" t="s">
        <v>47</v>
      </c>
      <c r="H126" s="61" t="n">
        <v>3</v>
      </c>
      <c r="I126" s="62" t="n">
        <v>170900</v>
      </c>
      <c r="J126" s="63" t="n">
        <f aca="false">H126*I126</f>
        <v>512700</v>
      </c>
      <c r="K126" s="64" t="n">
        <v>0.03</v>
      </c>
      <c r="L126" s="63" t="n">
        <f aca="false">J126*(1-K126)</f>
        <v>497319</v>
      </c>
      <c r="M126" s="62" t="n">
        <v>348123.3</v>
      </c>
      <c r="N126" s="63" t="n">
        <f aca="false">L126-M126</f>
        <v>149195.7</v>
      </c>
      <c r="O126" s="65" t="n">
        <f aca="false">IF(L126=0,0,N126/L126)</f>
        <v>0.3</v>
      </c>
      <c r="P126" s="63" t="n">
        <f aca="false">J126-L126</f>
        <v>15381</v>
      </c>
      <c r="Q126" s="66" t="n">
        <v>4.5</v>
      </c>
      <c r="R126" s="67" t="str">
        <f aca="false">IF(L126&gt;='What-If Lab'!$C$8,"Large",IF(L126&gt;='What-If Lab'!$C$9,"Medium","Small"))</f>
        <v>Small</v>
      </c>
    </row>
    <row r="127" customFormat="false" ht="15" hidden="false" customHeight="false" outlineLevel="0" collapsed="false">
      <c r="A127" s="58" t="s">
        <v>269</v>
      </c>
      <c r="B127" s="59" t="n">
        <v>46197</v>
      </c>
      <c r="C127" s="60" t="n">
        <f aca="false">MONTH(B127)</f>
        <v>6</v>
      </c>
      <c r="D127" s="58" t="s">
        <v>64</v>
      </c>
      <c r="E127" s="58" t="s">
        <v>59</v>
      </c>
      <c r="F127" s="58" t="s">
        <v>91</v>
      </c>
      <c r="G127" s="58" t="s">
        <v>45</v>
      </c>
      <c r="H127" s="61" t="n">
        <v>1</v>
      </c>
      <c r="I127" s="62" t="n">
        <v>497300</v>
      </c>
      <c r="J127" s="63" t="n">
        <f aca="false">H127*I127</f>
        <v>497300</v>
      </c>
      <c r="K127" s="64" t="n">
        <v>0.05</v>
      </c>
      <c r="L127" s="63" t="n">
        <f aca="false">J127*(1-K127)</f>
        <v>472435</v>
      </c>
      <c r="M127" s="62" t="n">
        <v>359050.6</v>
      </c>
      <c r="N127" s="63" t="n">
        <f aca="false">L127-M127</f>
        <v>113384.4</v>
      </c>
      <c r="O127" s="65" t="n">
        <f aca="false">IF(L127=0,0,N127/L127)</f>
        <v>0.24</v>
      </c>
      <c r="P127" s="63" t="n">
        <f aca="false">J127-L127</f>
        <v>24865</v>
      </c>
      <c r="Q127" s="66" t="n">
        <v>4.9</v>
      </c>
      <c r="R127" s="67" t="str">
        <f aca="false">IF(L127&gt;='What-If Lab'!$C$8,"Large",IF(L127&gt;='What-If Lab'!$C$9,"Medium","Small"))</f>
        <v>Small</v>
      </c>
    </row>
    <row r="128" customFormat="false" ht="15" hidden="false" customHeight="false" outlineLevel="0" collapsed="false">
      <c r="A128" s="58" t="s">
        <v>270</v>
      </c>
      <c r="B128" s="59" t="n">
        <v>46246</v>
      </c>
      <c r="C128" s="60" t="n">
        <f aca="false">MONTH(B128)</f>
        <v>8</v>
      </c>
      <c r="D128" s="58" t="s">
        <v>60</v>
      </c>
      <c r="E128" s="58" t="s">
        <v>65</v>
      </c>
      <c r="F128" s="58" t="s">
        <v>90</v>
      </c>
      <c r="G128" s="58" t="s">
        <v>51</v>
      </c>
      <c r="H128" s="61" t="n">
        <v>3</v>
      </c>
      <c r="I128" s="62" t="n">
        <v>199600</v>
      </c>
      <c r="J128" s="63" t="n">
        <f aca="false">H128*I128</f>
        <v>598800</v>
      </c>
      <c r="K128" s="64" t="n">
        <v>0.1</v>
      </c>
      <c r="L128" s="63" t="n">
        <f aca="false">J128*(1-K128)</f>
        <v>538920</v>
      </c>
      <c r="M128" s="62" t="n">
        <v>398800.8</v>
      </c>
      <c r="N128" s="63" t="n">
        <f aca="false">L128-M128</f>
        <v>140119.2</v>
      </c>
      <c r="O128" s="65" t="n">
        <f aca="false">IF(L128=0,0,N128/L128)</f>
        <v>0.26</v>
      </c>
      <c r="P128" s="63" t="n">
        <f aca="false">J128-L128</f>
        <v>59880</v>
      </c>
      <c r="Q128" s="66" t="n">
        <v>4.8</v>
      </c>
      <c r="R128" s="67" t="str">
        <f aca="false">IF(L128&gt;='What-If Lab'!$C$8,"Large",IF(L128&gt;='What-If Lab'!$C$9,"Medium","Small"))</f>
        <v>Medium</v>
      </c>
    </row>
    <row r="129" customFormat="false" ht="15" hidden="false" customHeight="false" outlineLevel="0" collapsed="false">
      <c r="A129" s="58" t="s">
        <v>271</v>
      </c>
      <c r="B129" s="59" t="n">
        <v>46103</v>
      </c>
      <c r="C129" s="60" t="n">
        <f aca="false">MONTH(B129)</f>
        <v>3</v>
      </c>
      <c r="D129" s="58" t="s">
        <v>64</v>
      </c>
      <c r="E129" s="58" t="s">
        <v>63</v>
      </c>
      <c r="F129" s="58" t="s">
        <v>90</v>
      </c>
      <c r="G129" s="58" t="s">
        <v>49</v>
      </c>
      <c r="H129" s="61" t="n">
        <v>3</v>
      </c>
      <c r="I129" s="62" t="n">
        <v>330900</v>
      </c>
      <c r="J129" s="63" t="n">
        <f aca="false">H129*I129</f>
        <v>992700</v>
      </c>
      <c r="K129" s="64" t="n">
        <v>0.08</v>
      </c>
      <c r="L129" s="63" t="n">
        <f aca="false">J129*(1-K129)</f>
        <v>913284</v>
      </c>
      <c r="M129" s="62" t="n">
        <v>712361.52</v>
      </c>
      <c r="N129" s="63" t="n">
        <f aca="false">L129-M129</f>
        <v>200922.48</v>
      </c>
      <c r="O129" s="65" t="n">
        <f aca="false">IF(L129=0,0,N129/L129)</f>
        <v>0.22</v>
      </c>
      <c r="P129" s="63" t="n">
        <f aca="false">J129-L129</f>
        <v>79416</v>
      </c>
      <c r="Q129" s="66" t="n">
        <v>3.7</v>
      </c>
      <c r="R129" s="67" t="str">
        <f aca="false">IF(L129&gt;='What-If Lab'!$C$8,"Large",IF(L129&gt;='What-If Lab'!$C$9,"Medium","Small"))</f>
        <v>Medium</v>
      </c>
    </row>
    <row r="130" customFormat="false" ht="15" hidden="false" customHeight="false" outlineLevel="0" collapsed="false">
      <c r="A130" s="58" t="s">
        <v>272</v>
      </c>
      <c r="B130" s="59" t="n">
        <v>46077</v>
      </c>
      <c r="C130" s="60" t="n">
        <f aca="false">MONTH(B130)</f>
        <v>2</v>
      </c>
      <c r="D130" s="58" t="s">
        <v>58</v>
      </c>
      <c r="E130" s="58" t="s">
        <v>59</v>
      </c>
      <c r="F130" s="58" t="s">
        <v>92</v>
      </c>
      <c r="G130" s="58" t="s">
        <v>49</v>
      </c>
      <c r="H130" s="61" t="n">
        <v>3</v>
      </c>
      <c r="I130" s="62" t="n">
        <v>290300</v>
      </c>
      <c r="J130" s="63" t="n">
        <f aca="false">H130*I130</f>
        <v>870900</v>
      </c>
      <c r="K130" s="64" t="n">
        <v>0</v>
      </c>
      <c r="L130" s="63" t="n">
        <f aca="false">J130*(1-K130)</f>
        <v>870900</v>
      </c>
      <c r="M130" s="62" t="n">
        <v>679302</v>
      </c>
      <c r="N130" s="63" t="n">
        <f aca="false">L130-M130</f>
        <v>191598</v>
      </c>
      <c r="O130" s="65" t="n">
        <f aca="false">IF(L130=0,0,N130/L130)</f>
        <v>0.22</v>
      </c>
      <c r="P130" s="63" t="n">
        <f aca="false">J130-L130</f>
        <v>0</v>
      </c>
      <c r="Q130" s="66" t="n">
        <v>3.5</v>
      </c>
      <c r="R130" s="67" t="str">
        <f aca="false">IF(L130&gt;='What-If Lab'!$C$8,"Large",IF(L130&gt;='What-If Lab'!$C$9,"Medium","Small"))</f>
        <v>Medium</v>
      </c>
    </row>
    <row r="131" customFormat="false" ht="15" hidden="false" customHeight="false" outlineLevel="0" collapsed="false">
      <c r="A131" s="58" t="s">
        <v>273</v>
      </c>
      <c r="B131" s="59" t="n">
        <v>46145</v>
      </c>
      <c r="C131" s="60" t="n">
        <f aca="false">MONTH(B131)</f>
        <v>5</v>
      </c>
      <c r="D131" s="58" t="s">
        <v>62</v>
      </c>
      <c r="E131" s="58" t="s">
        <v>63</v>
      </c>
      <c r="F131" s="58" t="s">
        <v>90</v>
      </c>
      <c r="G131" s="58" t="s">
        <v>45</v>
      </c>
      <c r="H131" s="61" t="n">
        <v>1</v>
      </c>
      <c r="I131" s="62" t="n">
        <v>544800</v>
      </c>
      <c r="J131" s="63" t="n">
        <f aca="false">H131*I131</f>
        <v>544800</v>
      </c>
      <c r="K131" s="64" t="n">
        <v>0.08</v>
      </c>
      <c r="L131" s="63" t="n">
        <f aca="false">J131*(1-K131)</f>
        <v>501216</v>
      </c>
      <c r="M131" s="62" t="n">
        <v>380924.16</v>
      </c>
      <c r="N131" s="63" t="n">
        <f aca="false">L131-M131</f>
        <v>120291.84</v>
      </c>
      <c r="O131" s="65" t="n">
        <f aca="false">IF(L131=0,0,N131/L131)</f>
        <v>0.24</v>
      </c>
      <c r="P131" s="63" t="n">
        <f aca="false">J131-L131</f>
        <v>43584</v>
      </c>
      <c r="Q131" s="66" t="n">
        <v>4.1</v>
      </c>
      <c r="R131" s="67" t="str">
        <f aca="false">IF(L131&gt;='What-If Lab'!$C$8,"Large",IF(L131&gt;='What-If Lab'!$C$9,"Medium","Small"))</f>
        <v>Medium</v>
      </c>
    </row>
    <row r="132" customFormat="false" ht="15" hidden="false" customHeight="false" outlineLevel="0" collapsed="false">
      <c r="A132" s="58" t="s">
        <v>274</v>
      </c>
      <c r="B132" s="59" t="n">
        <v>46151</v>
      </c>
      <c r="C132" s="60" t="n">
        <f aca="false">MONTH(B132)</f>
        <v>5</v>
      </c>
      <c r="D132" s="58" t="s">
        <v>64</v>
      </c>
      <c r="E132" s="58" t="s">
        <v>59</v>
      </c>
      <c r="F132" s="58" t="s">
        <v>90</v>
      </c>
      <c r="G132" s="58" t="s">
        <v>43</v>
      </c>
      <c r="H132" s="61" t="n">
        <v>3</v>
      </c>
      <c r="I132" s="62" t="n">
        <v>69200</v>
      </c>
      <c r="J132" s="63" t="n">
        <f aca="false">H132*I132</f>
        <v>207600</v>
      </c>
      <c r="K132" s="64" t="n">
        <v>0.1</v>
      </c>
      <c r="L132" s="63" t="n">
        <f aca="false">J132*(1-K132)</f>
        <v>186840</v>
      </c>
      <c r="M132" s="62" t="n">
        <v>115840.8</v>
      </c>
      <c r="N132" s="63" t="n">
        <f aca="false">L132-M132</f>
        <v>70999.2</v>
      </c>
      <c r="O132" s="65" t="n">
        <f aca="false">IF(L132=0,0,N132/L132)</f>
        <v>0.38</v>
      </c>
      <c r="P132" s="63" t="n">
        <f aca="false">J132-L132</f>
        <v>20760</v>
      </c>
      <c r="Q132" s="66" t="n">
        <v>3.5</v>
      </c>
      <c r="R132" s="67" t="str">
        <f aca="false">IF(L132&gt;='What-If Lab'!$C$8,"Large",IF(L132&gt;='What-If Lab'!$C$9,"Medium","Small"))</f>
        <v>Small</v>
      </c>
    </row>
    <row r="133" customFormat="false" ht="15" hidden="false" customHeight="false" outlineLevel="0" collapsed="false">
      <c r="A133" s="58" t="s">
        <v>275</v>
      </c>
      <c r="B133" s="59" t="n">
        <v>46221</v>
      </c>
      <c r="C133" s="60" t="n">
        <f aca="false">MONTH(B133)</f>
        <v>7</v>
      </c>
      <c r="D133" s="58" t="s">
        <v>66</v>
      </c>
      <c r="E133" s="58" t="s">
        <v>63</v>
      </c>
      <c r="F133" s="58" t="s">
        <v>90</v>
      </c>
      <c r="G133" s="58" t="s">
        <v>45</v>
      </c>
      <c r="H133" s="61" t="n">
        <v>2</v>
      </c>
      <c r="I133" s="62" t="n">
        <v>545100</v>
      </c>
      <c r="J133" s="63" t="n">
        <f aca="false">H133*I133</f>
        <v>1090200</v>
      </c>
      <c r="K133" s="64" t="n">
        <v>0</v>
      </c>
      <c r="L133" s="63" t="n">
        <f aca="false">J133*(1-K133)</f>
        <v>1090200</v>
      </c>
      <c r="M133" s="62" t="n">
        <v>828552</v>
      </c>
      <c r="N133" s="63" t="n">
        <f aca="false">L133-M133</f>
        <v>261648</v>
      </c>
      <c r="O133" s="65" t="n">
        <f aca="false">IF(L133=0,0,N133/L133)</f>
        <v>0.24</v>
      </c>
      <c r="P133" s="63" t="n">
        <f aca="false">J133-L133</f>
        <v>0</v>
      </c>
      <c r="Q133" s="66" t="n">
        <v>3.8</v>
      </c>
      <c r="R133" s="67" t="str">
        <f aca="false">IF(L133&gt;='What-If Lab'!$C$8,"Large",IF(L133&gt;='What-If Lab'!$C$9,"Medium","Small"))</f>
        <v>Medium</v>
      </c>
    </row>
    <row r="134" customFormat="false" ht="15" hidden="false" customHeight="false" outlineLevel="0" collapsed="false">
      <c r="A134" s="58" t="s">
        <v>276</v>
      </c>
      <c r="B134" s="59" t="n">
        <v>46246</v>
      </c>
      <c r="C134" s="60" t="n">
        <f aca="false">MONTH(B134)</f>
        <v>8</v>
      </c>
      <c r="D134" s="58" t="s">
        <v>60</v>
      </c>
      <c r="E134" s="58" t="s">
        <v>63</v>
      </c>
      <c r="F134" s="58" t="s">
        <v>91</v>
      </c>
      <c r="G134" s="58" t="s">
        <v>43</v>
      </c>
      <c r="H134" s="61" t="n">
        <v>3</v>
      </c>
      <c r="I134" s="62" t="n">
        <v>66100</v>
      </c>
      <c r="J134" s="63" t="n">
        <f aca="false">H134*I134</f>
        <v>198300</v>
      </c>
      <c r="K134" s="64" t="n">
        <v>0.05</v>
      </c>
      <c r="L134" s="63" t="n">
        <f aca="false">J134*(1-K134)</f>
        <v>188385</v>
      </c>
      <c r="M134" s="62" t="n">
        <v>116798.7</v>
      </c>
      <c r="N134" s="63" t="n">
        <f aca="false">L134-M134</f>
        <v>71586.3</v>
      </c>
      <c r="O134" s="65" t="n">
        <f aca="false">IF(L134=0,0,N134/L134)</f>
        <v>0.38</v>
      </c>
      <c r="P134" s="63" t="n">
        <f aca="false">J134-L134</f>
        <v>9915</v>
      </c>
      <c r="Q134" s="66" t="n">
        <v>4.7</v>
      </c>
      <c r="R134" s="67" t="str">
        <f aca="false">IF(L134&gt;='What-If Lab'!$C$8,"Large",IF(L134&gt;='What-If Lab'!$C$9,"Medium","Small"))</f>
        <v>Small</v>
      </c>
    </row>
    <row r="135" customFormat="false" ht="15" hidden="false" customHeight="false" outlineLevel="0" collapsed="false">
      <c r="A135" s="58" t="s">
        <v>277</v>
      </c>
      <c r="B135" s="59" t="n">
        <v>46227</v>
      </c>
      <c r="C135" s="60" t="n">
        <f aca="false">MONTH(B135)</f>
        <v>7</v>
      </c>
      <c r="D135" s="58" t="s">
        <v>58</v>
      </c>
      <c r="E135" s="58" t="s">
        <v>59</v>
      </c>
      <c r="F135" s="58" t="s">
        <v>91</v>
      </c>
      <c r="G135" s="58" t="s">
        <v>45</v>
      </c>
      <c r="H135" s="61" t="n">
        <v>2</v>
      </c>
      <c r="I135" s="62" t="n">
        <v>535200</v>
      </c>
      <c r="J135" s="63" t="n">
        <f aca="false">H135*I135</f>
        <v>1070400</v>
      </c>
      <c r="K135" s="64" t="n">
        <v>0.08</v>
      </c>
      <c r="L135" s="63" t="n">
        <f aca="false">J135*(1-K135)</f>
        <v>984768</v>
      </c>
      <c r="M135" s="62" t="n">
        <v>748423.68</v>
      </c>
      <c r="N135" s="63" t="n">
        <f aca="false">L135-M135</f>
        <v>236344.32</v>
      </c>
      <c r="O135" s="65" t="n">
        <f aca="false">IF(L135=0,0,N135/L135)</f>
        <v>0.24</v>
      </c>
      <c r="P135" s="63" t="n">
        <f aca="false">J135-L135</f>
        <v>85632</v>
      </c>
      <c r="Q135" s="66" t="n">
        <v>4.4</v>
      </c>
      <c r="R135" s="67" t="str">
        <f aca="false">IF(L135&gt;='What-If Lab'!$C$8,"Large",IF(L135&gt;='What-If Lab'!$C$9,"Medium","Small"))</f>
        <v>Medium</v>
      </c>
    </row>
    <row r="136" customFormat="false" ht="15" hidden="false" customHeight="false" outlineLevel="0" collapsed="false">
      <c r="A136" s="58" t="s">
        <v>278</v>
      </c>
      <c r="B136" s="59" t="n">
        <v>46154</v>
      </c>
      <c r="C136" s="60" t="n">
        <f aca="false">MONTH(B136)</f>
        <v>5</v>
      </c>
      <c r="D136" s="58" t="s">
        <v>66</v>
      </c>
      <c r="E136" s="58" t="s">
        <v>59</v>
      </c>
      <c r="F136" s="58" t="s">
        <v>91</v>
      </c>
      <c r="G136" s="58" t="s">
        <v>51</v>
      </c>
      <c r="H136" s="61" t="n">
        <v>1</v>
      </c>
      <c r="I136" s="62" t="n">
        <v>190700</v>
      </c>
      <c r="J136" s="63" t="n">
        <f aca="false">H136*I136</f>
        <v>190700</v>
      </c>
      <c r="K136" s="64" t="n">
        <v>0</v>
      </c>
      <c r="L136" s="63" t="n">
        <f aca="false">J136*(1-K136)</f>
        <v>190700</v>
      </c>
      <c r="M136" s="62" t="n">
        <v>141118</v>
      </c>
      <c r="N136" s="63" t="n">
        <f aca="false">L136-M136</f>
        <v>49582</v>
      </c>
      <c r="O136" s="65" t="n">
        <f aca="false">IF(L136=0,0,N136/L136)</f>
        <v>0.26</v>
      </c>
      <c r="P136" s="63" t="n">
        <f aca="false">J136-L136</f>
        <v>0</v>
      </c>
      <c r="Q136" s="66" t="n">
        <v>3.8</v>
      </c>
      <c r="R136" s="67" t="str">
        <f aca="false">IF(L136&gt;='What-If Lab'!$C$8,"Large",IF(L136&gt;='What-If Lab'!$C$9,"Medium","Small"))</f>
        <v>Small</v>
      </c>
    </row>
    <row r="137" customFormat="false" ht="15" hidden="false" customHeight="false" outlineLevel="0" collapsed="false">
      <c r="A137" s="58" t="s">
        <v>279</v>
      </c>
      <c r="B137" s="59" t="n">
        <v>46240</v>
      </c>
      <c r="C137" s="60" t="n">
        <f aca="false">MONTH(B137)</f>
        <v>8</v>
      </c>
      <c r="D137" s="58" t="s">
        <v>62</v>
      </c>
      <c r="E137" s="58" t="s">
        <v>59</v>
      </c>
      <c r="F137" s="58" t="s">
        <v>91</v>
      </c>
      <c r="G137" s="58" t="s">
        <v>49</v>
      </c>
      <c r="H137" s="61" t="n">
        <v>5</v>
      </c>
      <c r="I137" s="62" t="n">
        <v>293800</v>
      </c>
      <c r="J137" s="63" t="n">
        <f aca="false">H137*I137</f>
        <v>1469000</v>
      </c>
      <c r="K137" s="64" t="n">
        <v>0.03</v>
      </c>
      <c r="L137" s="63" t="n">
        <f aca="false">J137*(1-K137)</f>
        <v>1424930</v>
      </c>
      <c r="M137" s="62" t="n">
        <v>1111445.4</v>
      </c>
      <c r="N137" s="63" t="n">
        <f aca="false">L137-M137</f>
        <v>313484.6</v>
      </c>
      <c r="O137" s="65" t="n">
        <f aca="false">IF(L137=0,0,N137/L137)</f>
        <v>0.22</v>
      </c>
      <c r="P137" s="63" t="n">
        <f aca="false">J137-L137</f>
        <v>44070</v>
      </c>
      <c r="Q137" s="66" t="n">
        <v>4.5</v>
      </c>
      <c r="R137" s="67" t="str">
        <f aca="false">IF(L137&gt;='What-If Lab'!$C$8,"Large",IF(L137&gt;='What-If Lab'!$C$9,"Medium","Small"))</f>
        <v>Medium</v>
      </c>
    </row>
    <row r="138" customFormat="false" ht="15" hidden="false" customHeight="false" outlineLevel="0" collapsed="false">
      <c r="A138" s="58" t="s">
        <v>280</v>
      </c>
      <c r="B138" s="59" t="n">
        <v>46139</v>
      </c>
      <c r="C138" s="60" t="n">
        <f aca="false">MONTH(B138)</f>
        <v>4</v>
      </c>
      <c r="D138" s="58" t="s">
        <v>64</v>
      </c>
      <c r="E138" s="58" t="s">
        <v>65</v>
      </c>
      <c r="F138" s="58" t="s">
        <v>91</v>
      </c>
      <c r="G138" s="58" t="s">
        <v>49</v>
      </c>
      <c r="H138" s="61" t="n">
        <v>2</v>
      </c>
      <c r="I138" s="62" t="n">
        <v>288200</v>
      </c>
      <c r="J138" s="63" t="n">
        <f aca="false">H138*I138</f>
        <v>576400</v>
      </c>
      <c r="K138" s="64" t="n">
        <v>0.08</v>
      </c>
      <c r="L138" s="63" t="n">
        <f aca="false">J138*(1-K138)</f>
        <v>530288</v>
      </c>
      <c r="M138" s="62" t="n">
        <v>413624.64</v>
      </c>
      <c r="N138" s="63" t="n">
        <f aca="false">L138-M138</f>
        <v>116663.36</v>
      </c>
      <c r="O138" s="65" t="n">
        <f aca="false">IF(L138=0,0,N138/L138)</f>
        <v>0.22</v>
      </c>
      <c r="P138" s="63" t="n">
        <f aca="false">J138-L138</f>
        <v>46112</v>
      </c>
      <c r="Q138" s="66" t="n">
        <v>3.6</v>
      </c>
      <c r="R138" s="67" t="str">
        <f aca="false">IF(L138&gt;='What-If Lab'!$C$8,"Large",IF(L138&gt;='What-If Lab'!$C$9,"Medium","Small"))</f>
        <v>Medium</v>
      </c>
    </row>
    <row r="139" customFormat="false" ht="15" hidden="false" customHeight="false" outlineLevel="0" collapsed="false">
      <c r="A139" s="58" t="s">
        <v>281</v>
      </c>
      <c r="B139" s="59" t="n">
        <v>46260</v>
      </c>
      <c r="C139" s="60" t="n">
        <f aca="false">MONTH(B139)</f>
        <v>8</v>
      </c>
      <c r="D139" s="58" t="s">
        <v>58</v>
      </c>
      <c r="E139" s="58" t="s">
        <v>63</v>
      </c>
      <c r="F139" s="58" t="s">
        <v>91</v>
      </c>
      <c r="G139" s="58" t="s">
        <v>45</v>
      </c>
      <c r="H139" s="61" t="n">
        <v>2</v>
      </c>
      <c r="I139" s="62" t="n">
        <v>471100</v>
      </c>
      <c r="J139" s="63" t="n">
        <f aca="false">H139*I139</f>
        <v>942200</v>
      </c>
      <c r="K139" s="64" t="n">
        <v>0.03</v>
      </c>
      <c r="L139" s="63" t="n">
        <f aca="false">J139*(1-K139)</f>
        <v>913934</v>
      </c>
      <c r="M139" s="62" t="n">
        <v>694589.84</v>
      </c>
      <c r="N139" s="63" t="n">
        <f aca="false">L139-M139</f>
        <v>219344.16</v>
      </c>
      <c r="O139" s="65" t="n">
        <f aca="false">IF(L139=0,0,N139/L139)</f>
        <v>0.24</v>
      </c>
      <c r="P139" s="63" t="n">
        <f aca="false">J139-L139</f>
        <v>28266</v>
      </c>
      <c r="Q139" s="66" t="n">
        <v>4.7</v>
      </c>
      <c r="R139" s="67" t="str">
        <f aca="false">IF(L139&gt;='What-If Lab'!$C$8,"Large",IF(L139&gt;='What-If Lab'!$C$9,"Medium","Small"))</f>
        <v>Medium</v>
      </c>
    </row>
    <row r="140" customFormat="false" ht="15" hidden="false" customHeight="false" outlineLevel="0" collapsed="false">
      <c r="A140" s="58" t="s">
        <v>282</v>
      </c>
      <c r="B140" s="59" t="n">
        <v>46091</v>
      </c>
      <c r="C140" s="60" t="n">
        <f aca="false">MONTH(B140)</f>
        <v>3</v>
      </c>
      <c r="D140" s="58" t="s">
        <v>66</v>
      </c>
      <c r="E140" s="58" t="s">
        <v>59</v>
      </c>
      <c r="F140" s="58" t="s">
        <v>91</v>
      </c>
      <c r="G140" s="58" t="s">
        <v>43</v>
      </c>
      <c r="H140" s="61" t="n">
        <v>3</v>
      </c>
      <c r="I140" s="62" t="n">
        <v>65100</v>
      </c>
      <c r="J140" s="63" t="n">
        <f aca="false">H140*I140</f>
        <v>195300</v>
      </c>
      <c r="K140" s="64" t="n">
        <v>0.05</v>
      </c>
      <c r="L140" s="63" t="n">
        <f aca="false">J140*(1-K140)</f>
        <v>185535</v>
      </c>
      <c r="M140" s="62" t="n">
        <v>115031.7</v>
      </c>
      <c r="N140" s="63" t="n">
        <f aca="false">L140-M140</f>
        <v>70503.3</v>
      </c>
      <c r="O140" s="65" t="n">
        <f aca="false">IF(L140=0,0,N140/L140)</f>
        <v>0.38</v>
      </c>
      <c r="P140" s="63" t="n">
        <f aca="false">J140-L140</f>
        <v>9765</v>
      </c>
      <c r="Q140" s="66" t="n">
        <v>4</v>
      </c>
      <c r="R140" s="67" t="str">
        <f aca="false">IF(L140&gt;='What-If Lab'!$C$8,"Large",IF(L140&gt;='What-If Lab'!$C$9,"Medium","Small"))</f>
        <v>Small</v>
      </c>
    </row>
    <row r="141" customFormat="false" ht="15" hidden="false" customHeight="false" outlineLevel="0" collapsed="false">
      <c r="A141" s="58" t="s">
        <v>283</v>
      </c>
      <c r="B141" s="59" t="n">
        <v>46259</v>
      </c>
      <c r="C141" s="60" t="n">
        <f aca="false">MONTH(B141)</f>
        <v>8</v>
      </c>
      <c r="D141" s="58" t="s">
        <v>58</v>
      </c>
      <c r="E141" s="58" t="s">
        <v>65</v>
      </c>
      <c r="F141" s="58" t="s">
        <v>90</v>
      </c>
      <c r="G141" s="58" t="s">
        <v>47</v>
      </c>
      <c r="H141" s="61" t="n">
        <v>2</v>
      </c>
      <c r="I141" s="62" t="n">
        <v>188900</v>
      </c>
      <c r="J141" s="63" t="n">
        <f aca="false">H141*I141</f>
        <v>377800</v>
      </c>
      <c r="K141" s="64" t="n">
        <v>0.03</v>
      </c>
      <c r="L141" s="63" t="n">
        <f aca="false">J141*(1-K141)</f>
        <v>366466</v>
      </c>
      <c r="M141" s="62" t="n">
        <v>256526.2</v>
      </c>
      <c r="N141" s="63" t="n">
        <f aca="false">L141-M141</f>
        <v>109939.8</v>
      </c>
      <c r="O141" s="65" t="n">
        <f aca="false">IF(L141=0,0,N141/L141)</f>
        <v>0.3</v>
      </c>
      <c r="P141" s="63" t="n">
        <f aca="false">J141-L141</f>
        <v>11334</v>
      </c>
      <c r="Q141" s="66" t="n">
        <v>3.9</v>
      </c>
      <c r="R141" s="67" t="str">
        <f aca="false">IF(L141&gt;='What-If Lab'!$C$8,"Large",IF(L141&gt;='What-If Lab'!$C$9,"Medium","Small"))</f>
        <v>Small</v>
      </c>
    </row>
    <row r="142" customFormat="false" ht="15" hidden="false" customHeight="false" outlineLevel="0" collapsed="false">
      <c r="A142" s="58" t="s">
        <v>284</v>
      </c>
      <c r="B142" s="59" t="n">
        <v>46110</v>
      </c>
      <c r="C142" s="60" t="n">
        <f aca="false">MONTH(B142)</f>
        <v>3</v>
      </c>
      <c r="D142" s="58" t="s">
        <v>66</v>
      </c>
      <c r="E142" s="58" t="s">
        <v>63</v>
      </c>
      <c r="F142" s="58" t="s">
        <v>90</v>
      </c>
      <c r="G142" s="58" t="s">
        <v>45</v>
      </c>
      <c r="H142" s="61" t="n">
        <v>4</v>
      </c>
      <c r="I142" s="62" t="n">
        <v>548500</v>
      </c>
      <c r="J142" s="63" t="n">
        <f aca="false">H142*I142</f>
        <v>2194000</v>
      </c>
      <c r="K142" s="64" t="n">
        <v>0.1</v>
      </c>
      <c r="L142" s="63" t="n">
        <f aca="false">J142*(1-K142)</f>
        <v>1974600</v>
      </c>
      <c r="M142" s="62" t="n">
        <v>1500696</v>
      </c>
      <c r="N142" s="63" t="n">
        <f aca="false">L142-M142</f>
        <v>473904</v>
      </c>
      <c r="O142" s="65" t="n">
        <f aca="false">IF(L142=0,0,N142/L142)</f>
        <v>0.24</v>
      </c>
      <c r="P142" s="63" t="n">
        <f aca="false">J142-L142</f>
        <v>219400</v>
      </c>
      <c r="Q142" s="66" t="n">
        <v>3.9</v>
      </c>
      <c r="R142" s="67" t="str">
        <f aca="false">IF(L142&gt;='What-If Lab'!$C$8,"Large",IF(L142&gt;='What-If Lab'!$C$9,"Medium","Small"))</f>
        <v>Large</v>
      </c>
    </row>
    <row r="143" customFormat="false" ht="15" hidden="false" customHeight="false" outlineLevel="0" collapsed="false">
      <c r="A143" s="58" t="s">
        <v>285</v>
      </c>
      <c r="B143" s="59" t="n">
        <v>46279</v>
      </c>
      <c r="C143" s="60" t="n">
        <f aca="false">MONTH(B143)</f>
        <v>9</v>
      </c>
      <c r="D143" s="58" t="s">
        <v>66</v>
      </c>
      <c r="E143" s="58" t="s">
        <v>59</v>
      </c>
      <c r="F143" s="58" t="s">
        <v>91</v>
      </c>
      <c r="G143" s="58" t="s">
        <v>43</v>
      </c>
      <c r="H143" s="61" t="n">
        <v>5</v>
      </c>
      <c r="I143" s="62" t="n">
        <v>67500</v>
      </c>
      <c r="J143" s="63" t="n">
        <f aca="false">H143*I143</f>
        <v>337500</v>
      </c>
      <c r="K143" s="64" t="n">
        <v>0.05</v>
      </c>
      <c r="L143" s="63" t="n">
        <f aca="false">J143*(1-K143)</f>
        <v>320625</v>
      </c>
      <c r="M143" s="62" t="n">
        <v>198787.5</v>
      </c>
      <c r="N143" s="63" t="n">
        <f aca="false">L143-M143</f>
        <v>121837.5</v>
      </c>
      <c r="O143" s="65" t="n">
        <f aca="false">IF(L143=0,0,N143/L143)</f>
        <v>0.38</v>
      </c>
      <c r="P143" s="63" t="n">
        <f aca="false">J143-L143</f>
        <v>16875</v>
      </c>
      <c r="Q143" s="66" t="n">
        <v>3.7</v>
      </c>
      <c r="R143" s="67" t="str">
        <f aca="false">IF(L143&gt;='What-If Lab'!$C$8,"Large",IF(L143&gt;='What-If Lab'!$C$9,"Medium","Small"))</f>
        <v>Small</v>
      </c>
    </row>
    <row r="144" customFormat="false" ht="15" hidden="false" customHeight="false" outlineLevel="0" collapsed="false">
      <c r="A144" s="58" t="s">
        <v>286</v>
      </c>
      <c r="B144" s="59" t="n">
        <v>46191</v>
      </c>
      <c r="C144" s="60" t="n">
        <f aca="false">MONTH(B144)</f>
        <v>6</v>
      </c>
      <c r="D144" s="58" t="s">
        <v>62</v>
      </c>
      <c r="E144" s="58" t="s">
        <v>61</v>
      </c>
      <c r="F144" s="58" t="s">
        <v>91</v>
      </c>
      <c r="G144" s="58" t="s">
        <v>43</v>
      </c>
      <c r="H144" s="61" t="n">
        <v>3</v>
      </c>
      <c r="I144" s="62" t="n">
        <v>61900</v>
      </c>
      <c r="J144" s="63" t="n">
        <f aca="false">H144*I144</f>
        <v>185700</v>
      </c>
      <c r="K144" s="64" t="n">
        <v>0</v>
      </c>
      <c r="L144" s="63" t="n">
        <f aca="false">J144*(1-K144)</f>
        <v>185700</v>
      </c>
      <c r="M144" s="62" t="n">
        <v>115134</v>
      </c>
      <c r="N144" s="63" t="n">
        <f aca="false">L144-M144</f>
        <v>70566</v>
      </c>
      <c r="O144" s="65" t="n">
        <f aca="false">IF(L144=0,0,N144/L144)</f>
        <v>0.38</v>
      </c>
      <c r="P144" s="63" t="n">
        <f aca="false">J144-L144</f>
        <v>0</v>
      </c>
      <c r="Q144" s="66" t="n">
        <v>3.9</v>
      </c>
      <c r="R144" s="67" t="str">
        <f aca="false">IF(L144&gt;='What-If Lab'!$C$8,"Large",IF(L144&gt;='What-If Lab'!$C$9,"Medium","Small"))</f>
        <v>Small</v>
      </c>
    </row>
    <row r="145" customFormat="false" ht="15" hidden="false" customHeight="false" outlineLevel="0" collapsed="false">
      <c r="A145" s="58" t="s">
        <v>287</v>
      </c>
      <c r="B145" s="59" t="n">
        <v>46286</v>
      </c>
      <c r="C145" s="60" t="n">
        <f aca="false">MONTH(B145)</f>
        <v>9</v>
      </c>
      <c r="D145" s="58" t="s">
        <v>66</v>
      </c>
      <c r="E145" s="58" t="s">
        <v>61</v>
      </c>
      <c r="F145" s="58" t="s">
        <v>91</v>
      </c>
      <c r="G145" s="58" t="s">
        <v>49</v>
      </c>
      <c r="H145" s="61" t="n">
        <v>1</v>
      </c>
      <c r="I145" s="62" t="n">
        <v>297200</v>
      </c>
      <c r="J145" s="63" t="n">
        <f aca="false">H145*I145</f>
        <v>297200</v>
      </c>
      <c r="K145" s="64" t="n">
        <v>0</v>
      </c>
      <c r="L145" s="63" t="n">
        <f aca="false">J145*(1-K145)</f>
        <v>297200</v>
      </c>
      <c r="M145" s="62" t="n">
        <v>231816</v>
      </c>
      <c r="N145" s="63" t="n">
        <f aca="false">L145-M145</f>
        <v>65384</v>
      </c>
      <c r="O145" s="65" t="n">
        <f aca="false">IF(L145=0,0,N145/L145)</f>
        <v>0.22</v>
      </c>
      <c r="P145" s="63" t="n">
        <f aca="false">J145-L145</f>
        <v>0</v>
      </c>
      <c r="Q145" s="66" t="n">
        <v>4.5</v>
      </c>
      <c r="R145" s="67" t="str">
        <f aca="false">IF(L145&gt;='What-If Lab'!$C$8,"Large",IF(L145&gt;='What-If Lab'!$C$9,"Medium","Small"))</f>
        <v>Small</v>
      </c>
    </row>
    <row r="146" customFormat="false" ht="15" hidden="false" customHeight="false" outlineLevel="0" collapsed="false">
      <c r="A146" s="58" t="s">
        <v>288</v>
      </c>
      <c r="B146" s="59" t="n">
        <v>46077</v>
      </c>
      <c r="C146" s="60" t="n">
        <f aca="false">MONTH(B146)</f>
        <v>2</v>
      </c>
      <c r="D146" s="58" t="s">
        <v>62</v>
      </c>
      <c r="E146" s="58" t="s">
        <v>63</v>
      </c>
      <c r="F146" s="58" t="s">
        <v>91</v>
      </c>
      <c r="G146" s="58" t="s">
        <v>43</v>
      </c>
      <c r="H146" s="61" t="n">
        <v>5</v>
      </c>
      <c r="I146" s="62" t="n">
        <v>65000</v>
      </c>
      <c r="J146" s="63" t="n">
        <f aca="false">H146*I146</f>
        <v>325000</v>
      </c>
      <c r="K146" s="64" t="n">
        <v>0.08</v>
      </c>
      <c r="L146" s="63" t="n">
        <f aca="false">J146*(1-K146)</f>
        <v>299000</v>
      </c>
      <c r="M146" s="62" t="n">
        <v>185380</v>
      </c>
      <c r="N146" s="63" t="n">
        <f aca="false">L146-M146</f>
        <v>113620</v>
      </c>
      <c r="O146" s="65" t="n">
        <f aca="false">IF(L146=0,0,N146/L146)</f>
        <v>0.38</v>
      </c>
      <c r="P146" s="63" t="n">
        <f aca="false">J146-L146</f>
        <v>26000</v>
      </c>
      <c r="Q146" s="66" t="n">
        <v>3.4</v>
      </c>
      <c r="R146" s="67" t="str">
        <f aca="false">IF(L146&gt;='What-If Lab'!$C$8,"Large",IF(L146&gt;='What-If Lab'!$C$9,"Medium","Small"))</f>
        <v>Small</v>
      </c>
    </row>
    <row r="147" customFormat="false" ht="15" hidden="false" customHeight="false" outlineLevel="0" collapsed="false">
      <c r="A147" s="58" t="s">
        <v>289</v>
      </c>
      <c r="B147" s="59" t="n">
        <v>46077</v>
      </c>
      <c r="C147" s="60" t="n">
        <f aca="false">MONTH(B147)</f>
        <v>2</v>
      </c>
      <c r="D147" s="58" t="s">
        <v>62</v>
      </c>
      <c r="E147" s="58" t="s">
        <v>61</v>
      </c>
      <c r="F147" s="58" t="s">
        <v>91</v>
      </c>
      <c r="G147" s="58" t="s">
        <v>45</v>
      </c>
      <c r="H147" s="61" t="n">
        <v>4</v>
      </c>
      <c r="I147" s="62" t="n">
        <v>536900</v>
      </c>
      <c r="J147" s="63" t="n">
        <f aca="false">H147*I147</f>
        <v>2147600</v>
      </c>
      <c r="K147" s="64" t="n">
        <v>0</v>
      </c>
      <c r="L147" s="63" t="n">
        <f aca="false">J147*(1-K147)</f>
        <v>2147600</v>
      </c>
      <c r="M147" s="62" t="n">
        <v>1632176</v>
      </c>
      <c r="N147" s="63" t="n">
        <f aca="false">L147-M147</f>
        <v>515424</v>
      </c>
      <c r="O147" s="65" t="n">
        <f aca="false">IF(L147=0,0,N147/L147)</f>
        <v>0.24</v>
      </c>
      <c r="P147" s="63" t="n">
        <f aca="false">J147-L147</f>
        <v>0</v>
      </c>
      <c r="Q147" s="66" t="n">
        <v>4</v>
      </c>
      <c r="R147" s="67" t="str">
        <f aca="false">IF(L147&gt;='What-If Lab'!$C$8,"Large",IF(L147&gt;='What-If Lab'!$C$9,"Medium","Small"))</f>
        <v>Large</v>
      </c>
    </row>
    <row r="148" customFormat="false" ht="15" hidden="false" customHeight="false" outlineLevel="0" collapsed="false">
      <c r="A148" s="58" t="s">
        <v>290</v>
      </c>
      <c r="B148" s="59" t="n">
        <v>46103</v>
      </c>
      <c r="C148" s="60" t="n">
        <f aca="false">MONTH(B148)</f>
        <v>3</v>
      </c>
      <c r="D148" s="58" t="s">
        <v>58</v>
      </c>
      <c r="E148" s="58" t="s">
        <v>63</v>
      </c>
      <c r="F148" s="58" t="s">
        <v>90</v>
      </c>
      <c r="G148" s="58" t="s">
        <v>45</v>
      </c>
      <c r="H148" s="61" t="n">
        <v>2</v>
      </c>
      <c r="I148" s="62" t="n">
        <v>554600</v>
      </c>
      <c r="J148" s="63" t="n">
        <f aca="false">H148*I148</f>
        <v>1109200</v>
      </c>
      <c r="K148" s="64" t="n">
        <v>0.1</v>
      </c>
      <c r="L148" s="63" t="n">
        <f aca="false">J148*(1-K148)</f>
        <v>998280</v>
      </c>
      <c r="M148" s="62" t="n">
        <v>758692.8</v>
      </c>
      <c r="N148" s="63" t="n">
        <f aca="false">L148-M148</f>
        <v>239587.2</v>
      </c>
      <c r="O148" s="65" t="n">
        <f aca="false">IF(L148=0,0,N148/L148)</f>
        <v>0.24</v>
      </c>
      <c r="P148" s="63" t="n">
        <f aca="false">J148-L148</f>
        <v>110920</v>
      </c>
      <c r="Q148" s="66" t="n">
        <v>3.8</v>
      </c>
      <c r="R148" s="67" t="str">
        <f aca="false">IF(L148&gt;='What-If Lab'!$C$8,"Large",IF(L148&gt;='What-If Lab'!$C$9,"Medium","Small"))</f>
        <v>Medium</v>
      </c>
    </row>
    <row r="149" customFormat="false" ht="15" hidden="false" customHeight="false" outlineLevel="0" collapsed="false">
      <c r="A149" s="58" t="s">
        <v>291</v>
      </c>
      <c r="B149" s="59" t="n">
        <v>46037</v>
      </c>
      <c r="C149" s="60" t="n">
        <f aca="false">MONTH(B149)</f>
        <v>1</v>
      </c>
      <c r="D149" s="58" t="s">
        <v>62</v>
      </c>
      <c r="E149" s="58" t="s">
        <v>59</v>
      </c>
      <c r="F149" s="58" t="s">
        <v>91</v>
      </c>
      <c r="G149" s="58" t="s">
        <v>43</v>
      </c>
      <c r="H149" s="61" t="n">
        <v>2</v>
      </c>
      <c r="I149" s="62" t="n">
        <v>69600</v>
      </c>
      <c r="J149" s="63" t="n">
        <f aca="false">H149*I149</f>
        <v>139200</v>
      </c>
      <c r="K149" s="64" t="n">
        <v>0.05</v>
      </c>
      <c r="L149" s="63" t="n">
        <f aca="false">J149*(1-K149)</f>
        <v>132240</v>
      </c>
      <c r="M149" s="62" t="n">
        <v>81988.8</v>
      </c>
      <c r="N149" s="63" t="n">
        <f aca="false">L149-M149</f>
        <v>50251.2</v>
      </c>
      <c r="O149" s="65" t="n">
        <f aca="false">IF(L149=0,0,N149/L149)</f>
        <v>0.38</v>
      </c>
      <c r="P149" s="63" t="n">
        <f aca="false">J149-L149</f>
        <v>6960</v>
      </c>
      <c r="Q149" s="66" t="n">
        <v>4.3</v>
      </c>
      <c r="R149" s="67" t="str">
        <f aca="false">IF(L149&gt;='What-If Lab'!$C$8,"Large",IF(L149&gt;='What-If Lab'!$C$9,"Medium","Small"))</f>
        <v>Small</v>
      </c>
    </row>
    <row r="150" customFormat="false" ht="15" hidden="false" customHeight="false" outlineLevel="0" collapsed="false">
      <c r="A150" s="58" t="s">
        <v>292</v>
      </c>
      <c r="B150" s="59" t="n">
        <v>46203</v>
      </c>
      <c r="C150" s="60" t="n">
        <f aca="false">MONTH(B150)</f>
        <v>6</v>
      </c>
      <c r="D150" s="58" t="s">
        <v>58</v>
      </c>
      <c r="E150" s="58" t="s">
        <v>63</v>
      </c>
      <c r="F150" s="58" t="s">
        <v>91</v>
      </c>
      <c r="G150" s="58" t="s">
        <v>43</v>
      </c>
      <c r="H150" s="61" t="n">
        <v>5</v>
      </c>
      <c r="I150" s="62" t="n">
        <v>69800</v>
      </c>
      <c r="J150" s="63" t="n">
        <f aca="false">H150*I150</f>
        <v>349000</v>
      </c>
      <c r="K150" s="64" t="n">
        <v>0.05</v>
      </c>
      <c r="L150" s="63" t="n">
        <f aca="false">J150*(1-K150)</f>
        <v>331550</v>
      </c>
      <c r="M150" s="62" t="n">
        <v>205561</v>
      </c>
      <c r="N150" s="63" t="n">
        <f aca="false">L150-M150</f>
        <v>125989</v>
      </c>
      <c r="O150" s="65" t="n">
        <f aca="false">IF(L150=0,0,N150/L150)</f>
        <v>0.38</v>
      </c>
      <c r="P150" s="63" t="n">
        <f aca="false">J150-L150</f>
        <v>17450</v>
      </c>
      <c r="Q150" s="66" t="n">
        <v>4.4</v>
      </c>
      <c r="R150" s="67" t="str">
        <f aca="false">IF(L150&gt;='What-If Lab'!$C$8,"Large",IF(L150&gt;='What-If Lab'!$C$9,"Medium","Small"))</f>
        <v>Small</v>
      </c>
    </row>
    <row r="151" customFormat="false" ht="15" hidden="false" customHeight="false" outlineLevel="0" collapsed="false">
      <c r="A151" s="58" t="s">
        <v>293</v>
      </c>
      <c r="B151" s="59" t="n">
        <v>46056</v>
      </c>
      <c r="C151" s="60" t="n">
        <f aca="false">MONTH(B151)</f>
        <v>2</v>
      </c>
      <c r="D151" s="58" t="s">
        <v>62</v>
      </c>
      <c r="E151" s="58" t="s">
        <v>63</v>
      </c>
      <c r="F151" s="58" t="s">
        <v>91</v>
      </c>
      <c r="G151" s="58" t="s">
        <v>45</v>
      </c>
      <c r="H151" s="61" t="n">
        <v>2</v>
      </c>
      <c r="I151" s="62" t="n">
        <v>529400</v>
      </c>
      <c r="J151" s="63" t="n">
        <f aca="false">H151*I151</f>
        <v>1058800</v>
      </c>
      <c r="K151" s="64" t="n">
        <v>0.1</v>
      </c>
      <c r="L151" s="63" t="n">
        <f aca="false">J151*(1-K151)</f>
        <v>952920</v>
      </c>
      <c r="M151" s="62" t="n">
        <v>724219.2</v>
      </c>
      <c r="N151" s="63" t="n">
        <f aca="false">L151-M151</f>
        <v>228700.8</v>
      </c>
      <c r="O151" s="65" t="n">
        <f aca="false">IF(L151=0,0,N151/L151)</f>
        <v>0.24</v>
      </c>
      <c r="P151" s="63" t="n">
        <f aca="false">J151-L151</f>
        <v>105880</v>
      </c>
      <c r="Q151" s="66" t="n">
        <v>4.5</v>
      </c>
      <c r="R151" s="67" t="str">
        <f aca="false">IF(L151&gt;='What-If Lab'!$C$8,"Large",IF(L151&gt;='What-If Lab'!$C$9,"Medium","Small"))</f>
        <v>Medium</v>
      </c>
    </row>
    <row r="152" customFormat="false" ht="15" hidden="false" customHeight="false" outlineLevel="0" collapsed="false">
      <c r="A152" s="58" t="s">
        <v>294</v>
      </c>
      <c r="B152" s="59" t="n">
        <v>46048</v>
      </c>
      <c r="C152" s="60" t="n">
        <f aca="false">MONTH(B152)</f>
        <v>1</v>
      </c>
      <c r="D152" s="58" t="s">
        <v>62</v>
      </c>
      <c r="E152" s="58" t="s">
        <v>65</v>
      </c>
      <c r="F152" s="58" t="s">
        <v>92</v>
      </c>
      <c r="G152" s="58" t="s">
        <v>45</v>
      </c>
      <c r="H152" s="61" t="n">
        <v>3</v>
      </c>
      <c r="I152" s="62" t="n">
        <v>522900</v>
      </c>
      <c r="J152" s="63" t="n">
        <f aca="false">H152*I152</f>
        <v>1568700</v>
      </c>
      <c r="K152" s="64" t="n">
        <v>0.1</v>
      </c>
      <c r="L152" s="63" t="n">
        <f aca="false">J152*(1-K152)</f>
        <v>1411830</v>
      </c>
      <c r="M152" s="62" t="n">
        <v>1072990.8</v>
      </c>
      <c r="N152" s="63" t="n">
        <f aca="false">L152-M152</f>
        <v>338839.2</v>
      </c>
      <c r="O152" s="65" t="n">
        <f aca="false">IF(L152=0,0,N152/L152)</f>
        <v>0.24</v>
      </c>
      <c r="P152" s="63" t="n">
        <f aca="false">J152-L152</f>
        <v>156870</v>
      </c>
      <c r="Q152" s="66" t="n">
        <v>3.6</v>
      </c>
      <c r="R152" s="67" t="str">
        <f aca="false">IF(L152&gt;='What-If Lab'!$C$8,"Large",IF(L152&gt;='What-If Lab'!$C$9,"Medium","Small"))</f>
        <v>Medium</v>
      </c>
    </row>
    <row r="153" customFormat="false" ht="15" hidden="false" customHeight="false" outlineLevel="0" collapsed="false">
      <c r="A153" s="58" t="s">
        <v>295</v>
      </c>
      <c r="B153" s="59" t="n">
        <v>46096</v>
      </c>
      <c r="C153" s="60" t="n">
        <f aca="false">MONTH(B153)</f>
        <v>3</v>
      </c>
      <c r="D153" s="58" t="s">
        <v>58</v>
      </c>
      <c r="E153" s="58" t="s">
        <v>59</v>
      </c>
      <c r="F153" s="58" t="s">
        <v>92</v>
      </c>
      <c r="G153" s="58" t="s">
        <v>49</v>
      </c>
      <c r="H153" s="61" t="n">
        <v>4</v>
      </c>
      <c r="I153" s="62" t="n">
        <v>301500</v>
      </c>
      <c r="J153" s="63" t="n">
        <f aca="false">H153*I153</f>
        <v>1206000</v>
      </c>
      <c r="K153" s="64" t="n">
        <v>0</v>
      </c>
      <c r="L153" s="63" t="n">
        <f aca="false">J153*(1-K153)</f>
        <v>1206000</v>
      </c>
      <c r="M153" s="62" t="n">
        <v>940680</v>
      </c>
      <c r="N153" s="63" t="n">
        <f aca="false">L153-M153</f>
        <v>265320</v>
      </c>
      <c r="O153" s="65" t="n">
        <f aca="false">IF(L153=0,0,N153/L153)</f>
        <v>0.22</v>
      </c>
      <c r="P153" s="63" t="n">
        <f aca="false">J153-L153</f>
        <v>0</v>
      </c>
      <c r="Q153" s="66" t="n">
        <v>4.6</v>
      </c>
      <c r="R153" s="67" t="str">
        <f aca="false">IF(L153&gt;='What-If Lab'!$C$8,"Large",IF(L153&gt;='What-If Lab'!$C$9,"Medium","Small"))</f>
        <v>Medium</v>
      </c>
    </row>
    <row r="154" customFormat="false" ht="15" hidden="false" customHeight="false" outlineLevel="0" collapsed="false">
      <c r="A154" s="58" t="s">
        <v>296</v>
      </c>
      <c r="B154" s="59" t="n">
        <v>46223</v>
      </c>
      <c r="C154" s="60" t="n">
        <f aca="false">MONTH(B154)</f>
        <v>7</v>
      </c>
      <c r="D154" s="58" t="s">
        <v>60</v>
      </c>
      <c r="E154" s="58" t="s">
        <v>59</v>
      </c>
      <c r="F154" s="58" t="s">
        <v>90</v>
      </c>
      <c r="G154" s="58" t="s">
        <v>51</v>
      </c>
      <c r="H154" s="61" t="n">
        <v>5</v>
      </c>
      <c r="I154" s="62" t="n">
        <v>213000</v>
      </c>
      <c r="J154" s="63" t="n">
        <f aca="false">H154*I154</f>
        <v>1065000</v>
      </c>
      <c r="K154" s="64" t="n">
        <v>0.05</v>
      </c>
      <c r="L154" s="63" t="n">
        <f aca="false">J154*(1-K154)</f>
        <v>1011750</v>
      </c>
      <c r="M154" s="62" t="n">
        <v>748695</v>
      </c>
      <c r="N154" s="63" t="n">
        <f aca="false">L154-M154</f>
        <v>263055</v>
      </c>
      <c r="O154" s="65" t="n">
        <f aca="false">IF(L154=0,0,N154/L154)</f>
        <v>0.26</v>
      </c>
      <c r="P154" s="63" t="n">
        <f aca="false">J154-L154</f>
        <v>53250</v>
      </c>
      <c r="Q154" s="66" t="n">
        <v>3.5</v>
      </c>
      <c r="R154" s="67" t="str">
        <f aca="false">IF(L154&gt;='What-If Lab'!$C$8,"Large",IF(L154&gt;='What-If Lab'!$C$9,"Medium","Small"))</f>
        <v>Medium</v>
      </c>
    </row>
    <row r="155" customFormat="false" ht="15" hidden="false" customHeight="false" outlineLevel="0" collapsed="false">
      <c r="A155" s="58" t="s">
        <v>297</v>
      </c>
      <c r="B155" s="59" t="n">
        <v>46061</v>
      </c>
      <c r="C155" s="60" t="n">
        <f aca="false">MONTH(B155)</f>
        <v>2</v>
      </c>
      <c r="D155" s="58" t="s">
        <v>58</v>
      </c>
      <c r="E155" s="58" t="s">
        <v>59</v>
      </c>
      <c r="F155" s="58" t="s">
        <v>90</v>
      </c>
      <c r="G155" s="58" t="s">
        <v>45</v>
      </c>
      <c r="H155" s="61" t="n">
        <v>5</v>
      </c>
      <c r="I155" s="62" t="n">
        <v>554400</v>
      </c>
      <c r="J155" s="63" t="n">
        <f aca="false">H155*I155</f>
        <v>2772000</v>
      </c>
      <c r="K155" s="64" t="n">
        <v>0.08</v>
      </c>
      <c r="L155" s="63" t="n">
        <f aca="false">J155*(1-K155)</f>
        <v>2550240</v>
      </c>
      <c r="M155" s="62" t="n">
        <v>1938182.4</v>
      </c>
      <c r="N155" s="63" t="n">
        <f aca="false">L155-M155</f>
        <v>612057.6</v>
      </c>
      <c r="O155" s="65" t="n">
        <f aca="false">IF(L155=0,0,N155/L155)</f>
        <v>0.24</v>
      </c>
      <c r="P155" s="63" t="n">
        <f aca="false">J155-L155</f>
        <v>221760</v>
      </c>
      <c r="Q155" s="66" t="n">
        <v>3.9</v>
      </c>
      <c r="R155" s="67" t="str">
        <f aca="false">IF(L155&gt;='What-If Lab'!$C$8,"Large",IF(L155&gt;='What-If Lab'!$C$9,"Medium","Small"))</f>
        <v>Large</v>
      </c>
    </row>
    <row r="156" customFormat="false" ht="15" hidden="false" customHeight="false" outlineLevel="0" collapsed="false">
      <c r="A156" s="58" t="s">
        <v>298</v>
      </c>
      <c r="B156" s="59" t="n">
        <v>46203</v>
      </c>
      <c r="C156" s="60" t="n">
        <f aca="false">MONTH(B156)</f>
        <v>6</v>
      </c>
      <c r="D156" s="58" t="s">
        <v>64</v>
      </c>
      <c r="E156" s="58" t="s">
        <v>65</v>
      </c>
      <c r="F156" s="58" t="s">
        <v>91</v>
      </c>
      <c r="G156" s="58" t="s">
        <v>49</v>
      </c>
      <c r="H156" s="61" t="n">
        <v>4</v>
      </c>
      <c r="I156" s="62" t="n">
        <v>280200</v>
      </c>
      <c r="J156" s="63" t="n">
        <f aca="false">H156*I156</f>
        <v>1120800</v>
      </c>
      <c r="K156" s="64" t="n">
        <v>0</v>
      </c>
      <c r="L156" s="63" t="n">
        <f aca="false">J156*(1-K156)</f>
        <v>1120800</v>
      </c>
      <c r="M156" s="62" t="n">
        <v>874224</v>
      </c>
      <c r="N156" s="63" t="n">
        <f aca="false">L156-M156</f>
        <v>246576</v>
      </c>
      <c r="O156" s="65" t="n">
        <f aca="false">IF(L156=0,0,N156/L156)</f>
        <v>0.22</v>
      </c>
      <c r="P156" s="63" t="n">
        <f aca="false">J156-L156</f>
        <v>0</v>
      </c>
      <c r="Q156" s="66" t="n">
        <v>4.3</v>
      </c>
      <c r="R156" s="67" t="str">
        <f aca="false">IF(L156&gt;='What-If Lab'!$C$8,"Large",IF(L156&gt;='What-If Lab'!$C$9,"Medium","Small"))</f>
        <v>Medium</v>
      </c>
    </row>
    <row r="157" customFormat="false" ht="15" hidden="false" customHeight="false" outlineLevel="0" collapsed="false">
      <c r="A157" s="58" t="s">
        <v>299</v>
      </c>
      <c r="B157" s="59" t="n">
        <v>46137</v>
      </c>
      <c r="C157" s="60" t="n">
        <f aca="false">MONTH(B157)</f>
        <v>4</v>
      </c>
      <c r="D157" s="58" t="s">
        <v>58</v>
      </c>
      <c r="E157" s="58" t="s">
        <v>63</v>
      </c>
      <c r="F157" s="58" t="s">
        <v>91</v>
      </c>
      <c r="G157" s="58" t="s">
        <v>49</v>
      </c>
      <c r="H157" s="61" t="n">
        <v>3</v>
      </c>
      <c r="I157" s="62" t="n">
        <v>330900</v>
      </c>
      <c r="J157" s="63" t="n">
        <f aca="false">H157*I157</f>
        <v>992700</v>
      </c>
      <c r="K157" s="64" t="n">
        <v>0.03</v>
      </c>
      <c r="L157" s="63" t="n">
        <f aca="false">J157*(1-K157)</f>
        <v>962919</v>
      </c>
      <c r="M157" s="62" t="n">
        <v>751076.82</v>
      </c>
      <c r="N157" s="63" t="n">
        <f aca="false">L157-M157</f>
        <v>211842.18</v>
      </c>
      <c r="O157" s="65" t="n">
        <f aca="false">IF(L157=0,0,N157/L157)</f>
        <v>0.22</v>
      </c>
      <c r="P157" s="63" t="n">
        <f aca="false">J157-L157</f>
        <v>29781</v>
      </c>
      <c r="Q157" s="66" t="n">
        <v>5</v>
      </c>
      <c r="R157" s="67" t="str">
        <f aca="false">IF(L157&gt;='What-If Lab'!$C$8,"Large",IF(L157&gt;='What-If Lab'!$C$9,"Medium","Small"))</f>
        <v>Medium</v>
      </c>
    </row>
    <row r="158" customFormat="false" ht="15" hidden="false" customHeight="false" outlineLevel="0" collapsed="false">
      <c r="A158" s="58" t="s">
        <v>300</v>
      </c>
      <c r="B158" s="59" t="n">
        <v>46155</v>
      </c>
      <c r="C158" s="60" t="n">
        <f aca="false">MONTH(B158)</f>
        <v>5</v>
      </c>
      <c r="D158" s="58" t="s">
        <v>62</v>
      </c>
      <c r="E158" s="58" t="s">
        <v>65</v>
      </c>
      <c r="F158" s="58" t="s">
        <v>90</v>
      </c>
      <c r="G158" s="58" t="s">
        <v>45</v>
      </c>
      <c r="H158" s="61" t="n">
        <v>2</v>
      </c>
      <c r="I158" s="62" t="n">
        <v>520900</v>
      </c>
      <c r="J158" s="63" t="n">
        <f aca="false">H158*I158</f>
        <v>1041800</v>
      </c>
      <c r="K158" s="64" t="n">
        <v>0.03</v>
      </c>
      <c r="L158" s="63" t="n">
        <f aca="false">J158*(1-K158)</f>
        <v>1010546</v>
      </c>
      <c r="M158" s="62" t="n">
        <v>768014.96</v>
      </c>
      <c r="N158" s="63" t="n">
        <f aca="false">L158-M158</f>
        <v>242531.04</v>
      </c>
      <c r="O158" s="65" t="n">
        <f aca="false">IF(L158=0,0,N158/L158)</f>
        <v>0.24</v>
      </c>
      <c r="P158" s="63" t="n">
        <f aca="false">J158-L158</f>
        <v>31254</v>
      </c>
      <c r="Q158" s="66" t="n">
        <v>4.8</v>
      </c>
      <c r="R158" s="67" t="str">
        <f aca="false">IF(L158&gt;='What-If Lab'!$C$8,"Large",IF(L158&gt;='What-If Lab'!$C$9,"Medium","Small"))</f>
        <v>Medium</v>
      </c>
    </row>
    <row r="159" customFormat="false" ht="15" hidden="false" customHeight="false" outlineLevel="0" collapsed="false">
      <c r="A159" s="58" t="s">
        <v>301</v>
      </c>
      <c r="B159" s="59" t="n">
        <v>46281</v>
      </c>
      <c r="C159" s="60" t="n">
        <f aca="false">MONTH(B159)</f>
        <v>9</v>
      </c>
      <c r="D159" s="58" t="s">
        <v>66</v>
      </c>
      <c r="E159" s="58" t="s">
        <v>59</v>
      </c>
      <c r="F159" s="58" t="s">
        <v>90</v>
      </c>
      <c r="G159" s="58" t="s">
        <v>43</v>
      </c>
      <c r="H159" s="61" t="n">
        <v>1</v>
      </c>
      <c r="I159" s="62" t="n">
        <v>66800</v>
      </c>
      <c r="J159" s="63" t="n">
        <f aca="false">H159*I159</f>
        <v>66800</v>
      </c>
      <c r="K159" s="64" t="n">
        <v>0</v>
      </c>
      <c r="L159" s="63" t="n">
        <f aca="false">J159*(1-K159)</f>
        <v>66800</v>
      </c>
      <c r="M159" s="62" t="n">
        <v>41416</v>
      </c>
      <c r="N159" s="63" t="n">
        <f aca="false">L159-M159</f>
        <v>25384</v>
      </c>
      <c r="O159" s="65" t="n">
        <f aca="false">IF(L159=0,0,N159/L159)</f>
        <v>0.38</v>
      </c>
      <c r="P159" s="63" t="n">
        <f aca="false">J159-L159</f>
        <v>0</v>
      </c>
      <c r="Q159" s="66" t="n">
        <v>4.9</v>
      </c>
      <c r="R159" s="67" t="str">
        <f aca="false">IF(L159&gt;='What-If Lab'!$C$8,"Large",IF(L159&gt;='What-If Lab'!$C$9,"Medium","Small"))</f>
        <v>Small</v>
      </c>
    </row>
    <row r="160" customFormat="false" ht="15" hidden="false" customHeight="false" outlineLevel="0" collapsed="false">
      <c r="A160" s="58" t="s">
        <v>302</v>
      </c>
      <c r="B160" s="59" t="n">
        <v>46104</v>
      </c>
      <c r="C160" s="60" t="n">
        <f aca="false">MONTH(B160)</f>
        <v>3</v>
      </c>
      <c r="D160" s="58" t="s">
        <v>66</v>
      </c>
      <c r="E160" s="58" t="s">
        <v>59</v>
      </c>
      <c r="F160" s="58" t="s">
        <v>90</v>
      </c>
      <c r="G160" s="58" t="s">
        <v>47</v>
      </c>
      <c r="H160" s="61" t="n">
        <v>5</v>
      </c>
      <c r="I160" s="62" t="n">
        <v>191100</v>
      </c>
      <c r="J160" s="63" t="n">
        <f aca="false">H160*I160</f>
        <v>955500</v>
      </c>
      <c r="K160" s="64" t="n">
        <v>0.1</v>
      </c>
      <c r="L160" s="63" t="n">
        <f aca="false">J160*(1-K160)</f>
        <v>859950</v>
      </c>
      <c r="M160" s="62" t="n">
        <v>601965</v>
      </c>
      <c r="N160" s="63" t="n">
        <f aca="false">L160-M160</f>
        <v>257985</v>
      </c>
      <c r="O160" s="65" t="n">
        <f aca="false">IF(L160=0,0,N160/L160)</f>
        <v>0.3</v>
      </c>
      <c r="P160" s="63" t="n">
        <f aca="false">J160-L160</f>
        <v>95550</v>
      </c>
      <c r="Q160" s="66" t="n">
        <v>4.3</v>
      </c>
      <c r="R160" s="67" t="str">
        <f aca="false">IF(L160&gt;='What-If Lab'!$C$8,"Large",IF(L160&gt;='What-If Lab'!$C$9,"Medium","Small"))</f>
        <v>Medium</v>
      </c>
    </row>
    <row r="161" customFormat="false" ht="15" hidden="false" customHeight="false" outlineLevel="0" collapsed="false">
      <c r="A161" s="58" t="s">
        <v>303</v>
      </c>
      <c r="B161" s="59" t="n">
        <v>46172</v>
      </c>
      <c r="C161" s="60" t="n">
        <f aca="false">MONTH(B161)</f>
        <v>5</v>
      </c>
      <c r="D161" s="58" t="s">
        <v>62</v>
      </c>
      <c r="E161" s="58" t="s">
        <v>63</v>
      </c>
      <c r="F161" s="58" t="s">
        <v>91</v>
      </c>
      <c r="G161" s="58" t="s">
        <v>45</v>
      </c>
      <c r="H161" s="61" t="n">
        <v>3</v>
      </c>
      <c r="I161" s="62" t="n">
        <v>556500</v>
      </c>
      <c r="J161" s="63" t="n">
        <f aca="false">H161*I161</f>
        <v>1669500</v>
      </c>
      <c r="K161" s="64" t="n">
        <v>0.05</v>
      </c>
      <c r="L161" s="63" t="n">
        <f aca="false">J161*(1-K161)</f>
        <v>1586025</v>
      </c>
      <c r="M161" s="62" t="n">
        <v>1205379</v>
      </c>
      <c r="N161" s="63" t="n">
        <f aca="false">L161-M161</f>
        <v>380646</v>
      </c>
      <c r="O161" s="65" t="n">
        <f aca="false">IF(L161=0,0,N161/L161)</f>
        <v>0.24</v>
      </c>
      <c r="P161" s="63" t="n">
        <f aca="false">J161-L161</f>
        <v>83475</v>
      </c>
      <c r="Q161" s="66" t="n">
        <v>4.5</v>
      </c>
      <c r="R161" s="67" t="str">
        <f aca="false">IF(L161&gt;='What-If Lab'!$C$8,"Large",IF(L161&gt;='What-If Lab'!$C$9,"Medium","Small"))</f>
        <v>Large</v>
      </c>
    </row>
  </sheetData>
  <autoFilter ref="A1:R1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50"/>
  </cols>
  <sheetData>
    <row r="2" customFormat="false" ht="39.75" hidden="false" customHeight="true" outlineLevel="0" collapsed="false">
      <c r="B2" s="16" t="s">
        <v>304</v>
      </c>
      <c r="C2" s="16"/>
      <c r="D2" s="16"/>
      <c r="E2" s="16"/>
      <c r="F2" s="16"/>
    </row>
    <row r="4" customFormat="false" ht="15" hidden="false" customHeight="false" outlineLevel="0" collapsed="false">
      <c r="B4" s="8" t="s">
        <v>305</v>
      </c>
      <c r="C4" s="8"/>
      <c r="D4" s="8"/>
      <c r="E4" s="8"/>
      <c r="F4" s="8"/>
    </row>
    <row r="5" customFormat="false" ht="15" hidden="false" customHeight="false" outlineLevel="0" collapsed="false">
      <c r="B5" s="27" t="s">
        <v>306</v>
      </c>
      <c r="C5" s="27" t="s">
        <v>307</v>
      </c>
      <c r="D5" s="27" t="s">
        <v>308</v>
      </c>
      <c r="E5" s="27" t="s">
        <v>309</v>
      </c>
      <c r="F5" s="27" t="s">
        <v>310</v>
      </c>
    </row>
    <row r="6" customFormat="false" ht="15" hidden="false" customHeight="false" outlineLevel="0" collapsed="false">
      <c r="B6" s="68" t="s">
        <v>311</v>
      </c>
      <c r="C6" s="69" t="n">
        <f aca="false">SUM('Sales Data'!$L$2:$L$161)</f>
        <v>134241011</v>
      </c>
      <c r="D6" s="70" t="n">
        <v>134241011</v>
      </c>
      <c r="E6" s="71" t="str">
        <f aca="false">IF(ABS(C6-D6)&lt;=1,"PASS","CHECK")</f>
        <v>PASS</v>
      </c>
      <c r="F6" s="72" t="s">
        <v>312</v>
      </c>
    </row>
    <row r="7" customFormat="false" ht="15" hidden="false" customHeight="false" outlineLevel="0" collapsed="false">
      <c r="B7" s="68" t="s">
        <v>313</v>
      </c>
      <c r="C7" s="73" t="n">
        <f aca="false">SUM('Sales Data'!$N$2:$N$161)</f>
        <v>32951647.32</v>
      </c>
      <c r="D7" s="74" t="n">
        <v>32951647.32</v>
      </c>
      <c r="E7" s="71" t="str">
        <f aca="false">IF(ABS(C7-D7)&lt;=1,"PASS","CHECK")</f>
        <v>PASS</v>
      </c>
      <c r="F7" s="72" t="s">
        <v>314</v>
      </c>
    </row>
    <row r="8" customFormat="false" ht="15" hidden="false" customHeight="false" outlineLevel="0" collapsed="false">
      <c r="B8" s="68" t="s">
        <v>315</v>
      </c>
      <c r="C8" s="75" t="n">
        <f aca="false">COUNTA('Sales Data'!$A$2:$A$161)</f>
        <v>160</v>
      </c>
      <c r="D8" s="76" t="n">
        <v>160</v>
      </c>
      <c r="E8" s="71" t="str">
        <f aca="false">IF(ABS(C8-D8)&lt;=0,"PASS","CHECK")</f>
        <v>PASS</v>
      </c>
      <c r="F8" s="72" t="s">
        <v>316</v>
      </c>
    </row>
    <row r="9" customFormat="false" ht="15" hidden="false" customHeight="false" outlineLevel="0" collapsed="false">
      <c r="B9" s="68" t="s">
        <v>317</v>
      </c>
      <c r="C9" s="77" t="n">
        <f aca="false">AVERAGE('Sales Data'!$Q$2:$Q$161)</f>
        <v>4.081875</v>
      </c>
      <c r="D9" s="78" t="n">
        <v>4.081875</v>
      </c>
      <c r="E9" s="71" t="str">
        <f aca="false">IF(ABS(C9-D9)&lt;=0.0001,"PASS","CHECK")</f>
        <v>PASS</v>
      </c>
      <c r="F9" s="72" t="s">
        <v>318</v>
      </c>
    </row>
    <row r="10" customFormat="false" ht="15" hidden="false" customHeight="false" outlineLevel="0" collapsed="false">
      <c r="B10" s="68" t="s">
        <v>319</v>
      </c>
      <c r="C10" s="75" t="n">
        <f aca="false">SUMPRODUCT(1/COUNTIF('Sales Data'!$A$2:$A$161,'Sales Data'!$A$2:$A$161))</f>
        <v>160</v>
      </c>
      <c r="D10" s="76" t="n">
        <v>160</v>
      </c>
      <c r="E10" s="71" t="str">
        <f aca="false">IF(ABS(C10-D10)&lt;=0.001,"PASS","CHECK")</f>
        <v>PASS</v>
      </c>
      <c r="F10" s="72" t="s">
        <v>320</v>
      </c>
    </row>
    <row r="11" customFormat="false" ht="15" hidden="false" customHeight="false" outlineLevel="0" collapsed="false">
      <c r="B11" s="68" t="s">
        <v>321</v>
      </c>
      <c r="C11" s="75" t="n">
        <f aca="false">COUNTBLANK('Sales Data'!$A$2:$I$161)+COUNTBLANK('Sales Data'!$K$2:$K$161)+COUNTBLANK('Sales Data'!$M$2:$M$161)+COUNTBLANK('Sales Data'!$Q$2:$Q$161)</f>
        <v>0</v>
      </c>
      <c r="D11" s="76" t="n">
        <v>0</v>
      </c>
      <c r="E11" s="71" t="str">
        <f aca="false">IF(ABS(C11-D11)&lt;=0,"PASS","CHECK")</f>
        <v>PASS</v>
      </c>
      <c r="F11" s="72" t="s">
        <v>322</v>
      </c>
    </row>
    <row r="12" customFormat="false" ht="15" hidden="false" customHeight="false" outlineLevel="0" collapsed="false">
      <c r="B12" s="68" t="s">
        <v>323</v>
      </c>
      <c r="C12" s="69" t="n">
        <f aca="false">Insights!D56</f>
        <v>134241011</v>
      </c>
      <c r="D12" s="69" t="n">
        <f aca="false">SUM('Sales Data'!$L$2:$L$161)</f>
        <v>134241011</v>
      </c>
      <c r="E12" s="71" t="str">
        <f aca="false">IF(ABS(C12-D12)&lt;=1,"PASS","CHECK")</f>
        <v>PASS</v>
      </c>
      <c r="F12" s="72" t="s">
        <v>324</v>
      </c>
    </row>
    <row r="13" customFormat="false" ht="15" hidden="false" customHeight="false" outlineLevel="0" collapsed="false">
      <c r="B13" s="68" t="s">
        <v>325</v>
      </c>
      <c r="C13" s="69" t="n">
        <f aca="false">Insights!H21</f>
        <v>134241011</v>
      </c>
      <c r="D13" s="69" t="n">
        <f aca="false">SUM('Sales Data'!$L$2:$L$161)</f>
        <v>134241011</v>
      </c>
      <c r="E13" s="71" t="str">
        <f aca="false">IF(ABS(C13-D13)&lt;=1,"PASS","CHECK")</f>
        <v>PASS</v>
      </c>
      <c r="F13" s="72" t="s">
        <v>326</v>
      </c>
    </row>
    <row r="14" customFormat="false" ht="15" hidden="false" customHeight="false" outlineLevel="0" collapsed="false">
      <c r="B14" s="68" t="s">
        <v>327</v>
      </c>
      <c r="C14" s="75" t="n">
        <f aca="false">COUNTIFS('Sales Data'!$Q$2:$Q$161,"&gt;=1",'Sales Data'!$Q$2:$Q$161,"&lt;=5")</f>
        <v>160</v>
      </c>
      <c r="D14" s="76" t="n">
        <v>160</v>
      </c>
      <c r="E14" s="71" t="str">
        <f aca="false">IF(ABS(C14-D14)&lt;=0,"PASS","CHECK")</f>
        <v>PASS</v>
      </c>
      <c r="F14" s="72" t="s">
        <v>328</v>
      </c>
    </row>
    <row r="15" customFormat="false" ht="15" hidden="false" customHeight="false" outlineLevel="0" collapsed="false">
      <c r="B15" s="68" t="s">
        <v>329</v>
      </c>
      <c r="C15" s="75" t="n">
        <f aca="false">COUNTIFS('Sales Data'!$B$2:$B$161,"&gt;="&amp;DATE(2026,1,1),'Sales Data'!$B$2:$B$161,"&lt;="&amp;DATE(2026,9,30))</f>
        <v>160</v>
      </c>
      <c r="D15" s="76" t="n">
        <v>160</v>
      </c>
      <c r="E15" s="71" t="str">
        <f aca="false">IF(ABS(C15-D15)&lt;=0,"PASS","CHECK")</f>
        <v>PASS</v>
      </c>
      <c r="F15" s="72" t="s">
        <v>330</v>
      </c>
    </row>
    <row r="16" customFormat="false" ht="15" hidden="false" customHeight="false" outlineLevel="0" collapsed="false">
      <c r="B16" s="68" t="s">
        <v>331</v>
      </c>
      <c r="C16" s="75" t="n">
        <f aca="false">SUM(Insights!C25:C29)</f>
        <v>160</v>
      </c>
      <c r="D16" s="76" t="n">
        <v>160</v>
      </c>
      <c r="E16" s="71" t="str">
        <f aca="false">IF(ABS(C16-D16)&lt;=0,"PASS","CHECK")</f>
        <v>PASS</v>
      </c>
      <c r="F16" s="72" t="s">
        <v>332</v>
      </c>
    </row>
    <row r="17" customFormat="false" ht="15" hidden="false" customHeight="false" outlineLevel="0" collapsed="false">
      <c r="B17" s="36" t="s">
        <v>333</v>
      </c>
      <c r="C17" s="36"/>
      <c r="D17" s="36"/>
      <c r="E17" s="79" t="str">
        <f aca="false">IF(COUNTIF(E6:E16,"PASS")=11,"ALL PASS","REVIEW")</f>
        <v>ALL PASS</v>
      </c>
    </row>
    <row r="19" customFormat="false" ht="15" hidden="false" customHeight="false" outlineLevel="0" collapsed="false">
      <c r="B19" s="8" t="s">
        <v>334</v>
      </c>
      <c r="C19" s="8"/>
      <c r="D19" s="8"/>
      <c r="E19" s="8"/>
      <c r="F19" s="8"/>
    </row>
    <row r="20" customFormat="false" ht="33" hidden="false" customHeight="true" outlineLevel="0" collapsed="false">
      <c r="B20" s="9" t="s">
        <v>335</v>
      </c>
      <c r="C20" s="9"/>
      <c r="D20" s="9"/>
      <c r="E20" s="9"/>
      <c r="F20" s="9"/>
    </row>
    <row r="21" customFormat="false" ht="33" hidden="false" customHeight="true" outlineLevel="0" collapsed="false">
      <c r="B21" s="9" t="s">
        <v>336</v>
      </c>
      <c r="C21" s="9"/>
      <c r="D21" s="9"/>
      <c r="E21" s="9"/>
      <c r="F21" s="9"/>
    </row>
    <row r="22" customFormat="false" ht="33" hidden="false" customHeight="true" outlineLevel="0" collapsed="false">
      <c r="B22" s="9" t="s">
        <v>337</v>
      </c>
      <c r="C22" s="9"/>
      <c r="D22" s="9"/>
      <c r="E22" s="9"/>
      <c r="F22" s="9"/>
    </row>
    <row r="23" customFormat="false" ht="33" hidden="false" customHeight="true" outlineLevel="0" collapsed="false">
      <c r="B23" s="9" t="s">
        <v>338</v>
      </c>
      <c r="C23" s="9"/>
      <c r="D23" s="9"/>
      <c r="E23" s="9"/>
      <c r="F23" s="9"/>
    </row>
    <row r="24" customFormat="false" ht="18" hidden="false" customHeight="true" outlineLevel="0" collapsed="false">
      <c r="B24" s="9" t="s">
        <v>339</v>
      </c>
      <c r="C24" s="9"/>
      <c r="D24" s="9"/>
      <c r="E24" s="9"/>
      <c r="F24" s="9"/>
    </row>
    <row r="26" customFormat="false" ht="15" hidden="false" customHeight="false" outlineLevel="0" collapsed="false">
      <c r="B26" s="8" t="s">
        <v>340</v>
      </c>
      <c r="C26" s="8"/>
      <c r="D26" s="8"/>
      <c r="E26" s="8"/>
      <c r="F26" s="8"/>
    </row>
    <row r="27" customFormat="false" ht="48" hidden="false" customHeight="true" outlineLevel="0" collapsed="false">
      <c r="B27" s="9" t="s">
        <v>341</v>
      </c>
      <c r="C27" s="9"/>
      <c r="D27" s="9"/>
      <c r="E27" s="9"/>
      <c r="F27" s="9"/>
    </row>
    <row r="29" customFormat="false" ht="15" hidden="false" customHeight="false" outlineLevel="0" collapsed="false">
      <c r="B29" s="8" t="s">
        <v>342</v>
      </c>
      <c r="C29" s="8"/>
      <c r="D29" s="8"/>
      <c r="E29" s="8"/>
      <c r="F29" s="8"/>
    </row>
    <row r="30" customFormat="false" ht="18" hidden="false" customHeight="true" outlineLevel="0" collapsed="false">
      <c r="B30" s="9" t="s">
        <v>343</v>
      </c>
      <c r="C30" s="9"/>
      <c r="D30" s="9"/>
      <c r="E30" s="9"/>
      <c r="F30" s="9"/>
    </row>
    <row r="31" customFormat="false" ht="33" hidden="false" customHeight="true" outlineLevel="0" collapsed="false">
      <c r="B31" s="9" t="s">
        <v>344</v>
      </c>
      <c r="C31" s="9"/>
      <c r="D31" s="9"/>
      <c r="E31" s="9"/>
      <c r="F31" s="9"/>
    </row>
    <row r="32" customFormat="false" ht="33" hidden="false" customHeight="true" outlineLevel="0" collapsed="false">
      <c r="B32" s="9" t="s">
        <v>345</v>
      </c>
      <c r="C32" s="9"/>
      <c r="D32" s="9"/>
      <c r="E32" s="9"/>
      <c r="F32" s="9"/>
    </row>
    <row r="33" customFormat="false" ht="33" hidden="false" customHeight="true" outlineLevel="0" collapsed="false">
      <c r="B33" s="9" t="s">
        <v>346</v>
      </c>
      <c r="C33" s="9"/>
      <c r="D33" s="9"/>
      <c r="E33" s="9"/>
      <c r="F33" s="9"/>
    </row>
  </sheetData>
  <mergeCells count="16">
    <mergeCell ref="B2:F2"/>
    <mergeCell ref="B4:F4"/>
    <mergeCell ref="B17:D17"/>
    <mergeCell ref="B19:F19"/>
    <mergeCell ref="B20:F20"/>
    <mergeCell ref="B21:F21"/>
    <mergeCell ref="B22:F22"/>
    <mergeCell ref="B23:F23"/>
    <mergeCell ref="B24:F24"/>
    <mergeCell ref="B26:F26"/>
    <mergeCell ref="B27:F27"/>
    <mergeCell ref="B29:F29"/>
    <mergeCell ref="B30:F30"/>
    <mergeCell ref="B31:F31"/>
    <mergeCell ref="B32:F32"/>
    <mergeCell ref="B33:F33"/>
  </mergeCells>
  <conditionalFormatting sqref="E6:E16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2026-10-10T04:16:58Z</dcterms:created>
  <dc:creator>openpyxl</dc:creator>
  <dc:description/>
  <dc:language>en-US</dc:language>
  <cp:lastModifiedBy/>
  <dcterms:modified xsi:type="dcterms:W3CDTF">2026-10-10T04:17:02Z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