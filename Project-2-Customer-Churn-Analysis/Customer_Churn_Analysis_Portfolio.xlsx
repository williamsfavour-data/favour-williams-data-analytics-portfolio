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Analysis" sheetId="2" state="visible" r:id="rId4"/>
    <sheet name="Customer Data" sheetId="3" state="visible" r:id="rId5"/>
    <sheet name="Read Me" sheetId="4" state="visible" r:id="rId6"/>
    <sheet name="Chart Data" sheetId="5" state="visible" r:id="rId7"/>
  </sheets>
  <definedNames>
    <definedName function="false" hidden="false" localSheetId="0" name="_xlnm.Print_Area" vbProcedure="false">Dashboard!$A$1:$AB$52</definedName>
    <definedName function="false" hidden="false" name="d_Age" vbProcedure="false">'Customer Data'!$C$2:$C$1000</definedName>
    <definedName function="false" hidden="false" name="d_AgeGroup" vbProcedure="false">'Customer Data'!$D$2:$D$1000</definedName>
    <definedName function="false" hidden="false" name="d_Churned" vbProcedure="false">'Customer Data'!$M$2:$M$1000</definedName>
    <definedName function="false" hidden="false" name="d_Contract" vbProcedure="false">'Customer Data'!$G$2:$G$1000</definedName>
    <definedName function="false" hidden="false" name="d_Gender" vbProcedure="false">'Customer Data'!$B$2:$B$1000</definedName>
    <definedName function="false" hidden="false" name="d_Monthly" vbProcedure="false">'Customer Data'!$I$2:$I$1000</definedName>
    <definedName function="false" hidden="false" name="d_Payment" vbProcedure="false">'Customer Data'!$K$2:$K$1000</definedName>
    <definedName function="false" hidden="false" name="d_Plan" vbProcedure="false">'Customer Data'!$F$2:$F$1000</definedName>
    <definedName function="false" hidden="false" name="d_Region" vbProcedure="false">'Customer Data'!$E$2:$E$1000</definedName>
    <definedName function="false" hidden="false" name="d_Support" vbProcedure="false">'Customer Data'!$L$2:$L$1000</definedName>
    <definedName function="false" hidden="false" name="d_Tenure" vbProcedure="false">'Customer Data'!$H$2:$H$1000</definedName>
    <definedName function="false" hidden="false" name="d_Total" vbProcedure="false">'Customer Data'!$J$2:$J$1000</definedName>
    <definedName function="false" hidden="false" name="f_Contract" vbProcedure="false">'Chart Data'!$D$7</definedName>
    <definedName function="false" hidden="false" name="f_Plan" vbProcedure="false">'Chart Data'!$D$6</definedName>
    <definedName function="false" hidden="false" name="f_Region" vbProcedure="false">'Chart Data'!$D$5</definedName>
    <definedName function="false" hidden="false" name="k_Churned" vbProcedure="false">'Chart Data'!$C$11</definedName>
    <definedName function="false" hidden="false" name="k_Filtered" vbProcedure="false">'Chart Data'!$C$19</definedName>
    <definedName function="false" hidden="false" name="k_MOE" vbProcedure="false">'Chart Data'!$C$17</definedName>
    <definedName function="false" hidden="false" name="k_MRR" vbProcedure="false">'Chart Data'!$C$15</definedName>
    <definedName function="false" hidden="false" name="k_MRRall" vbProcedure="false">'Chart Data'!$C$16</definedName>
    <definedName function="false" hidden="false" name="k_N" vbProcedure="false">'Chart Data'!$C$10</definedName>
    <definedName function="false" hidden="false" name="k_Rate" vbProcedure="false">'Chart Data'!$C$13</definedName>
    <definedName function="false" hidden="false" name="k_Retained" vbProcedure="false">'Chart Data'!$C$12</definedName>
    <definedName function="false" hidden="false" name="k_Rev" vbProcedure="false">'Chart Data'!$C$14</definedName>
    <definedName function="false" hidden="false" name="k_Total" vbProcedure="false">'Chart Data'!$C$18</definedName>
    <definedName function="false" hidden="false" name="m_AvgMonthly" vbProcedure="false">Analysis!$C$12</definedName>
    <definedName function="false" hidden="false" name="m_AvgMonthlyCh" vbProcedure="false">Analysis!$C$13</definedName>
    <definedName function="false" hidden="false" name="m_AvgMonthlyRet" vbProcedure="false">Analysis!$C$14</definedName>
    <definedName function="false" hidden="false" name="m_AvgTenure" vbProcedure="false">Analysis!$C$15</definedName>
    <definedName function="false" hidden="false" name="m_Churned" vbProcedure="false">Analysis!$C$8</definedName>
    <definedName function="false" hidden="false" name="m_MOE" vbProcedure="false">Analysis!$C$11</definedName>
    <definedName function="false" hidden="false" name="m_MRR" vbProcedure="false">Analysis!$C$19</definedName>
    <definedName function="false" hidden="false" name="m_MRRall" vbProcedure="false">Analysis!$C$18</definedName>
    <definedName function="false" hidden="false" name="m_N" vbProcedure="false">Analysis!$C$7</definedName>
    <definedName function="false" hidden="false" name="m_Rate" vbProcedure="false">Analysis!$C$10</definedName>
    <definedName function="false" hidden="false" name="m_Retained" vbProcedure="false">Analysis!$C$9</definedName>
    <definedName function="false" hidden="false" name="m_Rev" vbProcedure="false">Analysis!$C$20</definedName>
    <definedName function="false" hidden="false" name="m_SupCh" vbProcedure="false">Analysis!$C$16</definedName>
    <definedName function="false" hidden="false" name="m_SupRet" vbProcedure="false">Analysis!$C$17</definedName>
    <definedName function="false" hidden="false" name="top_Label" vbProcedure="false">'Chart Data'!$C$60</definedName>
    <definedName function="false" hidden="false" name="top_N" vbProcedure="false">'Chart Data'!$F$60</definedName>
    <definedName function="false" hidden="false" name="top_Rate" vbProcedure="false">'Chart Data'!$E$60</definedName>
    <definedName function="false" hidden="false" name="t_High" vbProcedure="false">'Chart Data'!$H$10</definedName>
    <definedName function="false" hidden="false" name="t_Low" vbProcedure="false">'Chart Data'!$H$11</definedName>
    <definedName function="false" hidden="false" name="t_MinN" vbProcedure="false">'Chart Data'!$H$12</definedName>
    <definedName function="false" hidden="false" name="wi_mrr" vbProcedure="false">Analysis!$N$52</definedName>
    <definedName function="false" hidden="false" name="wi_save" vbProcedure="false">Analysis!$N$50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<sst xmlns="http://schemas.openxmlformats.org/spreadsheetml/2006/main" count="1523" uniqueCount="362">
  <si>
    <t xml:space="preserve">CUSTOMER CHURN ANALYSIS</t>
  </si>
  <si>
    <t xml:space="preserve">Analyst: Williams Favour</t>
  </si>
  <si>
    <t xml:space="preserve">Where are we losing customers, and what is it costing us?</t>
  </si>
  <si>
    <t xml:space="preserve">REGION</t>
  </si>
  <si>
    <t xml:space="preserve">All</t>
  </si>
  <si>
    <t xml:space="preserve">◂ Pick a region, or All</t>
  </si>
  <si>
    <t xml:space="preserve">PLAN</t>
  </si>
  <si>
    <t xml:space="preserve">◂ Pick a plan, or All</t>
  </si>
  <si>
    <t xml:space="preserve">CONTRACT</t>
  </si>
  <si>
    <t xml:space="preserve">◂ Pick a contract, or All</t>
  </si>
  <si>
    <t xml:space="preserve">TOTAL CUSTOMERS</t>
  </si>
  <si>
    <t xml:space="preserve">CHURNED CUSTOMERS</t>
  </si>
  <si>
    <t xml:space="preserve">CHURN RATE</t>
  </si>
  <si>
    <t xml:space="preserve">REVENUE AT RISK</t>
  </si>
  <si>
    <t xml:space="preserve">MRR LOST PER MONTH</t>
  </si>
  <si>
    <t xml:space="preserve">HIGHEST-RISK SEGMENT</t>
  </si>
  <si>
    <t xml:space="preserve">Lifetime billings, churned customers</t>
  </si>
  <si>
    <t xml:space="preserve">Churn by contract type</t>
  </si>
  <si>
    <t xml:space="preserve">Churn by plan</t>
  </si>
  <si>
    <t xml:space="preserve">Churn by region</t>
  </si>
  <si>
    <t xml:space="preserve">Region + Plan filters applied  ·  dashed line = overall rate</t>
  </si>
  <si>
    <t xml:space="preserve">Region + Contract filters applied  ·  dashed line = overall rate</t>
  </si>
  <si>
    <t xml:space="preserve">Plan + Contract filters applied  ·  dashed line = overall rate</t>
  </si>
  <si>
    <t xml:space="preserve">Churn by tenure group</t>
  </si>
  <si>
    <t xml:space="preserve">Risk heatmap: plan × contract</t>
  </si>
  <si>
    <t xml:space="preserve">What the data says</t>
  </si>
  <si>
    <t xml:space="preserve">All three filters applied  ·  months as a customer</t>
  </si>
  <si>
    <t xml:space="preserve">Region filter applied  ·  n = customers in segment</t>
  </si>
  <si>
    <t xml:space="preserve">Full sample  ·  live formulas, not typed text</t>
  </si>
  <si>
    <t xml:space="preserve">Contract</t>
  </si>
  <si>
    <t xml:space="preserve">Basic</t>
  </si>
  <si>
    <t xml:space="preserve">Standard</t>
  </si>
  <si>
    <t xml:space="preserve">Premium</t>
  </si>
  <si>
    <t xml:space="preserve">Monthly</t>
  </si>
  <si>
    <t xml:space="preserve">Quarterly</t>
  </si>
  <si>
    <t xml:space="preserve">Annual</t>
  </si>
  <si>
    <t xml:space="preserve">Risk tier</t>
  </si>
  <si>
    <t xml:space="preserve">Medium</t>
  </si>
  <si>
    <t xml:space="preserve">Churn rate = churned ÷ customers   ·   Revenue at risk = lifetime billings of churned customers   ·   MRR lost = monthly charges of churned customers</t>
  </si>
  <si>
    <t xml:space="preserve">Synthetic dataset created for portfolio practice   ·   n = 150, so small gaps can be noise (see Analysis for margins of error)   ·   Built in Excel with formulas, named ranges, dropdown filters and conditional formatting</t>
  </si>
  <si>
    <t xml:space="preserve">ANALYSIS WORKINGS</t>
  </si>
  <si>
    <t xml:space="preserve">Full-sample, formula-driven calculations behind the Dashboard.   Blue = editable input   ·   Black = formula   ·   Green = link to another sheet</t>
  </si>
  <si>
    <t xml:space="preserve">KEY METRICS</t>
  </si>
  <si>
    <t xml:space="preserve">SEGMENT HOTSPOTS  ·  PLAN × CONTRACT</t>
  </si>
  <si>
    <t xml:space="preserve">Total customers</t>
  </si>
  <si>
    <t xml:space="preserve">Rows in Customer Data</t>
  </si>
  <si>
    <t xml:space="preserve">Plan · Contract</t>
  </si>
  <si>
    <t xml:space="preserve">Customers</t>
  </si>
  <si>
    <t xml:space="preserve">Churned</t>
  </si>
  <si>
    <t xml:space="preserve">Churn rate</t>
  </si>
  <si>
    <t xml:space="preserve">Revenue at risk</t>
  </si>
  <si>
    <t xml:space="preserve">Ranked rate*</t>
  </si>
  <si>
    <t xml:space="preserve">Rank</t>
  </si>
  <si>
    <t xml:space="preserve">Churned customers</t>
  </si>
  <si>
    <t xml:space="preserve">Churned = Yes</t>
  </si>
  <si>
    <t xml:space="preserve">Basic · Monthly</t>
  </si>
  <si>
    <t xml:space="preserve">Retained customers</t>
  </si>
  <si>
    <t xml:space="preserve">Standard · Monthly</t>
  </si>
  <si>
    <t xml:space="preserve">Churned ÷ total customers</t>
  </si>
  <si>
    <t xml:space="preserve">Premium · Monthly</t>
  </si>
  <si>
    <t xml:space="preserve">95% margin of error (± pp)</t>
  </si>
  <si>
    <t xml:space="preserve">Sampling uncertainty on the churn rate at this sample size</t>
  </si>
  <si>
    <t xml:space="preserve">Basic · Quarterly</t>
  </si>
  <si>
    <t xml:space="preserve">Avg monthly charges (₦)</t>
  </si>
  <si>
    <t xml:space="preserve">Standard · Quarterly</t>
  </si>
  <si>
    <t xml:space="preserve">Avg monthly charges: churned (₦)</t>
  </si>
  <si>
    <t xml:space="preserve">Churned customers pay less on average</t>
  </si>
  <si>
    <t xml:space="preserve">Premium · Quarterly</t>
  </si>
  <si>
    <t xml:space="preserve">Avg monthly charges: retained (₦)</t>
  </si>
  <si>
    <t xml:space="preserve">Basic · Annual</t>
  </si>
  <si>
    <t xml:space="preserve">Avg tenure (months)</t>
  </si>
  <si>
    <t xml:space="preserve">Standard · Annual</t>
  </si>
  <si>
    <t xml:space="preserve">Avg support contacts: churned</t>
  </si>
  <si>
    <t xml:space="preserve">Compared with retained below</t>
  </si>
  <si>
    <t xml:space="preserve">Premium · Annual</t>
  </si>
  <si>
    <t xml:space="preserve">Avg support contacts: retained</t>
  </si>
  <si>
    <t xml:space="preserve">Highest-risk segment</t>
  </si>
  <si>
    <t xml:space="preserve">Monthly recurring revenue (₦)</t>
  </si>
  <si>
    <t xml:space="preserve">Sum of monthly charges, all customers</t>
  </si>
  <si>
    <t xml:space="preserve">* Only segments with at least the minimum number of customers (set on Chart Data) are ranked, so a tiny group cannot top the list.</t>
  </si>
  <si>
    <t xml:space="preserve">MRR lost to churn (₦ / month)</t>
  </si>
  <si>
    <t xml:space="preserve">Sum of monthly charges, churned customers</t>
  </si>
  <si>
    <t xml:space="preserve">Revenue at risk (₦)</t>
  </si>
  <si>
    <t xml:space="preserve">Lifetime billings (Total Charges) of churned customers</t>
  </si>
  <si>
    <t xml:space="preserve">BUSINESS INSIGHTS  ·  every number is a live formula</t>
  </si>
  <si>
    <t xml:space="preserve">CHURN BY CONTRACT TYPE</t>
  </si>
  <si>
    <t xml:space="preserve">Category</t>
  </si>
  <si>
    <t xml:space="preserve">vs overall</t>
  </si>
  <si>
    <t xml:space="preserve">Share of churn</t>
  </si>
  <si>
    <t xml:space="preserve">Total</t>
  </si>
  <si>
    <t xml:space="preserve">CHURN BY PLAN</t>
  </si>
  <si>
    <t xml:space="preserve">CHURN BY REGION</t>
  </si>
  <si>
    <t xml:space="preserve">RECOMMENDATIONS</t>
  </si>
  <si>
    <t xml:space="preserve">Abuja</t>
  </si>
  <si>
    <t xml:space="preserve">1. Put Basic + Monthly customers first: offer a loyalty discount or a free plan upgrade ahead of the typical churn point.</t>
  </si>
  <si>
    <t xml:space="preserve">Lagos</t>
  </si>
  <si>
    <t xml:space="preserve">Port Harcourt</t>
  </si>
  <si>
    <t xml:space="preserve">2. Convert monthly customers to quarterly or annual contracts with an incentive; annual contracts churn at a fraction of the monthly rate.</t>
  </si>
  <si>
    <t xml:space="preserve">Kano</t>
  </si>
  <si>
    <t xml:space="preserve">Ibadan</t>
  </si>
  <si>
    <t xml:space="preserve">3. Build a structured onboarding journey for months 0-6 and a renewal check-in around month 24 to cover the second risk window.</t>
  </si>
  <si>
    <t xml:space="preserve">4. Do not use support volume as a churn trigger; record ticket outcomes and satisfaction so the next analysis can test quality, not quantity.</t>
  </si>
  <si>
    <t xml:space="preserve">CHURN BY TENURE GROUP (MONTHS)</t>
  </si>
  <si>
    <t xml:space="preserve">From</t>
  </si>
  <si>
    <t xml:space="preserve">To</t>
  </si>
  <si>
    <t xml:space="preserve">5. Run retention campaigns as A/B tests with a control group, and capture a reason-for-leaving field to validate these findings.</t>
  </si>
  <si>
    <t xml:space="preserve">0-6</t>
  </si>
  <si>
    <t xml:space="preserve">7-12</t>
  </si>
  <si>
    <t xml:space="preserve">13-24</t>
  </si>
  <si>
    <t xml:space="preserve">WHAT-IF  ·  value of a retention programme (illustrative)</t>
  </si>
  <si>
    <t xml:space="preserve">25+</t>
  </si>
  <si>
    <t xml:space="preserve">Share of churned customers saved (assumption)</t>
  </si>
  <si>
    <t xml:space="preserve">Illustrative assumption, edit freely</t>
  </si>
  <si>
    <t xml:space="preserve">Customers retained</t>
  </si>
  <si>
    <t xml:space="preserve">MRR protected (₦ / month)</t>
  </si>
  <si>
    <t xml:space="preserve">MRR lost × save rate</t>
  </si>
  <si>
    <t xml:space="preserve">CHURN BY AGE GROUP</t>
  </si>
  <si>
    <t xml:space="preserve">MRR protected, annualised (₦)</t>
  </si>
  <si>
    <t xml:space="preserve">Assumes saved customers stay for 12 months</t>
  </si>
  <si>
    <t xml:space="preserve">18-24</t>
  </si>
  <si>
    <t xml:space="preserve">METHOD &amp; CAVEATS</t>
  </si>
  <si>
    <t xml:space="preserve">25-34</t>
  </si>
  <si>
    <t xml:space="preserve">Churn rate = churned ÷ customers. Revenue at risk = Total Charges of churned customers (historical, not a forecast).</t>
  </si>
  <si>
    <t xml:space="preserve">35-44</t>
  </si>
  <si>
    <t xml:space="preserve">45-54</t>
  </si>
  <si>
    <t xml:space="preserve">Synthetic dataset of 150 customers; differences between small segments are descriptive and were not tested for significance.</t>
  </si>
  <si>
    <t xml:space="preserve">55+</t>
  </si>
  <si>
    <t xml:space="preserve">Signup Date is not used: dates fall in 2026 while tenure runs up to 36 months, so the two fields are not consistent.</t>
  </si>
  <si>
    <t xml:space="preserve">CHURN BY GENDER</t>
  </si>
  <si>
    <t xml:space="preserve">Female</t>
  </si>
  <si>
    <t xml:space="preserve">Male</t>
  </si>
  <si>
    <t xml:space="preserve">CHURN BY PAYMENT METHOD</t>
  </si>
  <si>
    <t xml:space="preserve">Bank Transfer</t>
  </si>
  <si>
    <t xml:space="preserve">Card</t>
  </si>
  <si>
    <t xml:space="preserve">Direct Debit</t>
  </si>
  <si>
    <t xml:space="preserve">USSD</t>
  </si>
  <si>
    <t xml:space="preserve">CHURN BY SUPPORT INTERACTIONS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</si>
  <si>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</si>
  <si>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</si>
  <si>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</si>
  <si>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</si>
  <si>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</si>
  <si>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5+</t>
  </si>
  <si>
    <t xml:space="preserve">Customer ID</t>
  </si>
  <si>
    <t xml:space="preserve">Gender</t>
  </si>
  <si>
    <t xml:space="preserve">Age</t>
  </si>
  <si>
    <t xml:space="preserve">Age Group</t>
  </si>
  <si>
    <t xml:space="preserve">Region</t>
  </si>
  <si>
    <t xml:space="preserve">Plan</t>
  </si>
  <si>
    <t xml:space="preserve">Contract Type</t>
  </si>
  <si>
    <t xml:space="preserve">Tenure (Months)</t>
  </si>
  <si>
    <t xml:space="preserve">Monthly Charges (₦)</t>
  </si>
  <si>
    <t xml:space="preserve">Total Charges (₦)</t>
  </si>
  <si>
    <t xml:space="preserve">Payment Method</t>
  </si>
  <si>
    <t xml:space="preserve">Support Interactions</t>
  </si>
  <si>
    <t xml:space="preserve">Signup Date</t>
  </si>
  <si>
    <t xml:space="preserve">CUST-0001</t>
  </si>
  <si>
    <t xml:space="preserve">Yes</t>
  </si>
  <si>
    <t xml:space="preserve">CUST-0002</t>
  </si>
  <si>
    <t xml:space="preserve">CUST-0003</t>
  </si>
  <si>
    <t xml:space="preserve">No</t>
  </si>
  <si>
    <t xml:space="preserve">CUST-0004</t>
  </si>
  <si>
    <t xml:space="preserve">CUST-0005</t>
  </si>
  <si>
    <t xml:space="preserve">CUST-0006</t>
  </si>
  <si>
    <t xml:space="preserve">CUST-0007</t>
  </si>
  <si>
    <t xml:space="preserve">CUST-0008</t>
  </si>
  <si>
    <t xml:space="preserve">CUST-0009</t>
  </si>
  <si>
    <t xml:space="preserve">CUST-0010</t>
  </si>
  <si>
    <t xml:space="preserve">CUST-0011</t>
  </si>
  <si>
    <t xml:space="preserve">CUST-0012</t>
  </si>
  <si>
    <t xml:space="preserve">CUST-0013</t>
  </si>
  <si>
    <t xml:space="preserve">CUST-0014</t>
  </si>
  <si>
    <t xml:space="preserve">CUST-0015</t>
  </si>
  <si>
    <t xml:space="preserve">CUST-0016</t>
  </si>
  <si>
    <t xml:space="preserve">CUST-0017</t>
  </si>
  <si>
    <t xml:space="preserve">CUST-0018</t>
  </si>
  <si>
    <t xml:space="preserve">CUST-0019</t>
  </si>
  <si>
    <t xml:space="preserve">CUST-0020</t>
  </si>
  <si>
    <t xml:space="preserve">CUST-0021</t>
  </si>
  <si>
    <t xml:space="preserve">CUST-0022</t>
  </si>
  <si>
    <t xml:space="preserve">CUST-0023</t>
  </si>
  <si>
    <t xml:space="preserve">CUST-0024</t>
  </si>
  <si>
    <t xml:space="preserve">CUST-0025</t>
  </si>
  <si>
    <t xml:space="preserve">CUST-0026</t>
  </si>
  <si>
    <t xml:space="preserve">CUST-0027</t>
  </si>
  <si>
    <t xml:space="preserve">CUST-0028</t>
  </si>
  <si>
    <t xml:space="preserve">CUST-0029</t>
  </si>
  <si>
    <t xml:space="preserve">CUST-0030</t>
  </si>
  <si>
    <t xml:space="preserve">CUST-0031</t>
  </si>
  <si>
    <t xml:space="preserve">CUST-0032</t>
  </si>
  <si>
    <t xml:space="preserve">CUST-0033</t>
  </si>
  <si>
    <t xml:space="preserve">CUST-0034</t>
  </si>
  <si>
    <t xml:space="preserve">CUST-0035</t>
  </si>
  <si>
    <t xml:space="preserve">CUST-0036</t>
  </si>
  <si>
    <t xml:space="preserve">CUST-0037</t>
  </si>
  <si>
    <t xml:space="preserve">CUST-0038</t>
  </si>
  <si>
    <t xml:space="preserve">CUST-0039</t>
  </si>
  <si>
    <t xml:space="preserve">CUST-0040</t>
  </si>
  <si>
    <t xml:space="preserve">CUST-0041</t>
  </si>
  <si>
    <t xml:space="preserve">CUST-0042</t>
  </si>
  <si>
    <t xml:space="preserve">CUST-0043</t>
  </si>
  <si>
    <t xml:space="preserve">CUST-0044</t>
  </si>
  <si>
    <t xml:space="preserve">CUST-0045</t>
  </si>
  <si>
    <t xml:space="preserve">CUST-0046</t>
  </si>
  <si>
    <t xml:space="preserve">CUST-0047</t>
  </si>
  <si>
    <t xml:space="preserve">CUST-0048</t>
  </si>
  <si>
    <t xml:space="preserve">CUST-0049</t>
  </si>
  <si>
    <t xml:space="preserve">CUST-0050</t>
  </si>
  <si>
    <t xml:space="preserve">CUST-0051</t>
  </si>
  <si>
    <t xml:space="preserve">CUST-0052</t>
  </si>
  <si>
    <t xml:space="preserve">CUST-0053</t>
  </si>
  <si>
    <t xml:space="preserve">CUST-0054</t>
  </si>
  <si>
    <t xml:space="preserve">CUST-0055</t>
  </si>
  <si>
    <t xml:space="preserve">CUST-0056</t>
  </si>
  <si>
    <t xml:space="preserve">CUST-0057</t>
  </si>
  <si>
    <t xml:space="preserve">CUST-0058</t>
  </si>
  <si>
    <t xml:space="preserve">CUST-0059</t>
  </si>
  <si>
    <t xml:space="preserve">CUST-0060</t>
  </si>
  <si>
    <t xml:space="preserve">CUST-0061</t>
  </si>
  <si>
    <t xml:space="preserve">CUST-0062</t>
  </si>
  <si>
    <t xml:space="preserve">CUST-0063</t>
  </si>
  <si>
    <t xml:space="preserve">CUST-0064</t>
  </si>
  <si>
    <t xml:space="preserve">CUST-0065</t>
  </si>
  <si>
    <t xml:space="preserve">CUST-0066</t>
  </si>
  <si>
    <t xml:space="preserve">CUST-0067</t>
  </si>
  <si>
    <t xml:space="preserve">CUST-0068</t>
  </si>
  <si>
    <t xml:space="preserve">CUST-0069</t>
  </si>
  <si>
    <t xml:space="preserve">CUST-0070</t>
  </si>
  <si>
    <t xml:space="preserve">CUST-0071</t>
  </si>
  <si>
    <t xml:space="preserve">CUST-0072</t>
  </si>
  <si>
    <t xml:space="preserve">CUST-0073</t>
  </si>
  <si>
    <t xml:space="preserve">CUST-0074</t>
  </si>
  <si>
    <t xml:space="preserve">CUST-0075</t>
  </si>
  <si>
    <t xml:space="preserve">CUST-0076</t>
  </si>
  <si>
    <t xml:space="preserve">CUST-0077</t>
  </si>
  <si>
    <t xml:space="preserve">CUST-0078</t>
  </si>
  <si>
    <t xml:space="preserve">CUST-0079</t>
  </si>
  <si>
    <t xml:space="preserve">CUST-0080</t>
  </si>
  <si>
    <t xml:space="preserve">CUST-0081</t>
  </si>
  <si>
    <t xml:space="preserve">CUST-0082</t>
  </si>
  <si>
    <t xml:space="preserve">CUST-0083</t>
  </si>
  <si>
    <t xml:space="preserve">CUST-0084</t>
  </si>
  <si>
    <t xml:space="preserve">CUST-0085</t>
  </si>
  <si>
    <t xml:space="preserve">CUST-0086</t>
  </si>
  <si>
    <t xml:space="preserve">CUST-0087</t>
  </si>
  <si>
    <t xml:space="preserve">CUST-0088</t>
  </si>
  <si>
    <t xml:space="preserve">CUST-0089</t>
  </si>
  <si>
    <t xml:space="preserve">CUST-0090</t>
  </si>
  <si>
    <t xml:space="preserve">CUST-0091</t>
  </si>
  <si>
    <t xml:space="preserve">CUST-0092</t>
  </si>
  <si>
    <t xml:space="preserve">CUST-0093</t>
  </si>
  <si>
    <t xml:space="preserve">CUST-0094</t>
  </si>
  <si>
    <t xml:space="preserve">CUST-0095</t>
  </si>
  <si>
    <t xml:space="preserve">CUST-0096</t>
  </si>
  <si>
    <t xml:space="preserve">CUST-0097</t>
  </si>
  <si>
    <t xml:space="preserve">CUST-0098</t>
  </si>
  <si>
    <t xml:space="preserve">CUST-0099</t>
  </si>
  <si>
    <t xml:space="preserve">CUST-0100</t>
  </si>
  <si>
    <t xml:space="preserve">CUST-0101</t>
  </si>
  <si>
    <t xml:space="preserve">CUST-0102</t>
  </si>
  <si>
    <t xml:space="preserve">CUST-0103</t>
  </si>
  <si>
    <t xml:space="preserve">CUST-0104</t>
  </si>
  <si>
    <t xml:space="preserve">CUST-0105</t>
  </si>
  <si>
    <t xml:space="preserve">CUST-0106</t>
  </si>
  <si>
    <t xml:space="preserve">CUST-0107</t>
  </si>
  <si>
    <t xml:space="preserve">CUST-0108</t>
  </si>
  <si>
    <t xml:space="preserve">CUST-0109</t>
  </si>
  <si>
    <t xml:space="preserve">CUST-0110</t>
  </si>
  <si>
    <t xml:space="preserve">CUST-0111</t>
  </si>
  <si>
    <t xml:space="preserve">CUST-0112</t>
  </si>
  <si>
    <t xml:space="preserve">CUST-0113</t>
  </si>
  <si>
    <t xml:space="preserve">CUST-0114</t>
  </si>
  <si>
    <t xml:space="preserve">CUST-0115</t>
  </si>
  <si>
    <t xml:space="preserve">CUST-0116</t>
  </si>
  <si>
    <t xml:space="preserve">CUST-0117</t>
  </si>
  <si>
    <t xml:space="preserve">CUST-0118</t>
  </si>
  <si>
    <t xml:space="preserve">CUST-0119</t>
  </si>
  <si>
    <t xml:space="preserve">CUST-0120</t>
  </si>
  <si>
    <t xml:space="preserve">CUST-0121</t>
  </si>
  <si>
    <t xml:space="preserve">CUST-0122</t>
  </si>
  <si>
    <t xml:space="preserve">CUST-0123</t>
  </si>
  <si>
    <t xml:space="preserve">CUST-0124</t>
  </si>
  <si>
    <t xml:space="preserve">CUST-0125</t>
  </si>
  <si>
    <t xml:space="preserve">CUST-0126</t>
  </si>
  <si>
    <t xml:space="preserve">CUST-0127</t>
  </si>
  <si>
    <t xml:space="preserve">CUST-0128</t>
  </si>
  <si>
    <t xml:space="preserve">CUST-0129</t>
  </si>
  <si>
    <t xml:space="preserve">CUST-0130</t>
  </si>
  <si>
    <t xml:space="preserve">CUST-0131</t>
  </si>
  <si>
    <t xml:space="preserve">CUST-0132</t>
  </si>
  <si>
    <t xml:space="preserve">CUST-0133</t>
  </si>
  <si>
    <t xml:space="preserve">CUST-0134</t>
  </si>
  <si>
    <t xml:space="preserve">CUST-0135</t>
  </si>
  <si>
    <t xml:space="preserve">CUST-0136</t>
  </si>
  <si>
    <t xml:space="preserve">CUST-0137</t>
  </si>
  <si>
    <t xml:space="preserve">CUST-0138</t>
  </si>
  <si>
    <t xml:space="preserve">CUST-0139</t>
  </si>
  <si>
    <t xml:space="preserve">CUST-0140</t>
  </si>
  <si>
    <t xml:space="preserve">CUST-0141</t>
  </si>
  <si>
    <t xml:space="preserve">CUST-0142</t>
  </si>
  <si>
    <t xml:space="preserve">CUST-0143</t>
  </si>
  <si>
    <t xml:space="preserve">CUST-0144</t>
  </si>
  <si>
    <t xml:space="preserve">CUST-0145</t>
  </si>
  <si>
    <t xml:space="preserve">CUST-0146</t>
  </si>
  <si>
    <t xml:space="preserve">CUST-0147</t>
  </si>
  <si>
    <t xml:space="preserve">CUST-0148</t>
  </si>
  <si>
    <t xml:space="preserve">CUST-0149</t>
  </si>
  <si>
    <t xml:space="preserve">CUST-0150</t>
  </si>
  <si>
    <t xml:space="preserve">Project 2: Customer Churn Analysis</t>
  </si>
  <si>
    <t xml:space="preserve">Portfolio project  ·  Excel business analysis</t>
  </si>
  <si>
    <t xml:space="preserve">Project type</t>
  </si>
  <si>
    <t xml:space="preserve">Portfolio / sample business analysis</t>
  </si>
  <si>
    <t xml:space="preserve">Tool</t>
  </si>
  <si>
    <t xml:space="preserve">Microsoft Excel</t>
  </si>
  <si>
    <t xml:space="preserve">Business problem</t>
  </si>
  <si>
    <t xml:space="preserve">A subscription business wants to understand customer churn and identify factors associated with customers leaving.</t>
  </si>
  <si>
    <t xml:space="preserve">Objectives</t>
  </si>
  <si>
    <t xml:space="preserve">Measure churn, compare churn across plans, contracts, regions and tenure groups, estimate revenue at risk, and provide retention recommendations.</t>
  </si>
  <si>
    <t xml:space="preserve">Skills demonstrated</t>
  </si>
  <si>
    <t xml:space="preserve">Excel data preparation, descriptive analysis, KPI reporting, interactive dashboard design (dropdown filters, dynamic charts, conditional-format heatmap), churn-rate analysis, insight generation.</t>
  </si>
  <si>
    <t xml:space="preserve">Dataset</t>
  </si>
  <si>
    <t xml:space="preserve">150 synthetic customer records created for portfolio practice. This is synthetic data and is not presented as real client work.</t>
  </si>
  <si>
    <t xml:space="preserve">How to use the dashboard</t>
  </si>
  <si>
    <t xml:space="preserve">On the Dashboard, change the yellow dropdowns (Region, Plan, Contract). KPIs, charts and the heatmap recalculate. Each chart ignores the filter it already slices by, so categories stay comparable.</t>
  </si>
  <si>
    <t xml:space="preserve">Data notes</t>
  </si>
  <si>
    <t xml:space="preserve">Customer Data is unchanged from the source. Signup Date is not used because dates fall in 2026 while tenure reaches 36 months, so the two fields are inconsistent. With n = 150, small segment differences are descriptive, not statistically tested.</t>
  </si>
  <si>
    <t xml:space="preserve">AI disclosure</t>
  </si>
  <si>
    <t xml:space="preserve">AI assistance supported project structuring, synthetic-data generation logic, workbook design and quality checking. The final workbook was reviewed for consistency.</t>
  </si>
  <si>
    <t xml:space="preserve">WORKBOOK MAP</t>
  </si>
  <si>
    <t xml:space="preserve">Dashboard</t>
  </si>
  <si>
    <t xml:space="preserve">Interactive one-page view: filters, KPI strip, four charts, risk heatmap, findings.</t>
  </si>
  <si>
    <t xml:space="preserve">Analysis</t>
  </si>
  <si>
    <t xml:space="preserve">Full-sample formula tables, insights, recommendations, retention what-if, caveats.</t>
  </si>
  <si>
    <t xml:space="preserve">Customer Data</t>
  </si>
  <si>
    <t xml:space="preserve">Source records (150 rows), formatted only.</t>
  </si>
  <si>
    <t xml:space="preserve">Chart Data</t>
  </si>
  <si>
    <t xml:space="preserve">Helper calculations that feed the filtered charts. Blue cells are adjustable assumptions.</t>
  </si>
  <si>
    <t xml:space="preserve">CHART DATA  ·  engine behind the Dashboard filters and charts</t>
  </si>
  <si>
    <t xml:space="preserve">Do not overwrite formulas here. Blue cells are inputs; green cells link to other sheets. Each chart honours the two filters it does not itself slice by.</t>
  </si>
  <si>
    <t xml:space="preserve">FILTER SELECTIONS</t>
  </si>
  <si>
    <t xml:space="preserve">KPIs FOR THE CURRENT VIEW</t>
  </si>
  <si>
    <t xml:space="preserve">ASSUMPTIONS</t>
  </si>
  <si>
    <t xml:space="preserve">Customers in view</t>
  </si>
  <si>
    <t xml:space="preserve">High-risk tier at or above</t>
  </si>
  <si>
    <t xml:space="preserve">Low-risk tier below</t>
  </si>
  <si>
    <t xml:space="preserve">Min. customers to rank a segment</t>
  </si>
  <si>
    <t xml:space="preserve">Tier thresholds are judgement calls set around the overall churn rate; change them and the heatmap recolours.</t>
  </si>
  <si>
    <t xml:space="preserve">MRR lost (₦ / month)</t>
  </si>
  <si>
    <t xml:space="preserve">MRR in view (₦ / month)</t>
  </si>
  <si>
    <t xml:space="preserve">Customers in dataset</t>
  </si>
  <si>
    <t xml:space="preserve">Any filter active? (1 = yes)</t>
  </si>
  <si>
    <t xml:space="preserve">CONTRACT CHART  ·  honours Region + Plan filters</t>
  </si>
  <si>
    <t xml:space="preserve">Highlight</t>
  </si>
  <si>
    <t xml:space="preserve">Other</t>
  </si>
  <si>
    <t xml:space="preserve">Benchmark</t>
  </si>
  <si>
    <t xml:space="preserve">Axis label</t>
  </si>
  <si>
    <t xml:space="preserve">PLAN CHART  ·  honours Region + Contract filters</t>
  </si>
  <si>
    <t xml:space="preserve">REGION CHART  ·  honours Plan + Contract filters</t>
  </si>
  <si>
    <t xml:space="preserve">TENURE CHART  ·  honours all three filters</t>
  </si>
  <si>
    <t xml:space="preserve">HEATMAP SEGMENTS  ·  honours Region filter</t>
  </si>
  <si>
    <t xml:space="preserve">Ranked rate</t>
  </si>
  <si>
    <t xml:space="preserve">Highest-risk segment in view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</si>
</sst>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"/>
    <numFmt numFmtId="166" formatCode="0.0%"/>
    <numFmt numFmtId="167" formatCode="\₦#,##0"/>
    <numFmt numFmtId="168" formatCode="@"/>
    <numFmt numFmtId="169" formatCode="0%"/>
    <numFmt numFmtId="170" formatCode="0.0%;&quot;n too small&quot;"/>
    <numFmt numFmtId="171" formatCode="General"/>
    <numFmt numFmtId="172" formatCode="0.0"/>
    <numFmt numFmtId="173" formatCode="&quot;n = &quot;0"/>
    <numFmt numFmtId="174" formatCode="\+0.0&quot; pp&quot;;\-0.0&quot; pp&quot;;0.0&quot; pp&quot;"/>
    <numFmt numFmtId="175" formatCode="dd\-mmm\-yyyy"/>
    <numFmt numFmtId="176" formatCode="0"/>
  </numFmts>
  <fonts count="4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Arial"/>
      <family val="0"/>
      <charset val="1"/>
    </font>
    <font>
      <b val="true"/>
      <sz val="10"/>
      <color rgb="FFF2B134"/>
      <name val="Arial"/>
      <family val="0"/>
      <charset val="1"/>
    </font>
    <font>
      <i val="true"/>
      <sz val="10"/>
      <color rgb="FF9FB3C8"/>
      <name val="Arial"/>
      <family val="0"/>
      <charset val="1"/>
    </font>
    <font>
      <sz val="9"/>
      <color rgb="FF9FB3C8"/>
      <name val="Arial"/>
      <family val="0"/>
      <charset val="1"/>
    </font>
    <font>
      <b val="true"/>
      <sz val="9"/>
      <color rgb="FF0B1F33"/>
      <name val="Arial"/>
      <family val="0"/>
      <charset val="1"/>
    </font>
    <font>
      <b val="true"/>
      <sz val="11"/>
      <color rgb="FF0B1F33"/>
      <name val="Arial"/>
      <family val="0"/>
      <charset val="1"/>
    </font>
    <font>
      <i val="true"/>
      <sz val="8"/>
      <color rgb="FF6B7785"/>
      <name val="Arial"/>
      <family val="0"/>
      <charset val="1"/>
    </font>
    <font>
      <b val="true"/>
      <sz val="8"/>
      <color rgb="FF6B7785"/>
      <name val="Arial"/>
      <family val="0"/>
      <charset val="1"/>
    </font>
    <font>
      <b val="true"/>
      <sz val="22"/>
      <color rgb="FF0B1F33"/>
      <name val="Arial"/>
      <family val="0"/>
      <charset val="1"/>
    </font>
    <font>
      <b val="true"/>
      <sz val="22"/>
      <color rgb="FFE4572E"/>
      <name val="Arial"/>
      <family val="0"/>
      <charset val="1"/>
    </font>
    <font>
      <b val="true"/>
      <sz val="15"/>
      <color rgb="FF0B1F33"/>
      <name val="Arial"/>
      <family val="0"/>
      <charset val="1"/>
    </font>
    <font>
      <sz val="8"/>
      <color rgb="FF6B7785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9"/>
      <color rgb="FF1D2B3A"/>
      <name val="Arial"/>
      <family val="0"/>
      <charset val="1"/>
    </font>
    <font>
      <b val="true"/>
      <sz val="10"/>
      <color rgb="FF0B1F33"/>
      <name val="Arial"/>
      <family val="0"/>
      <charset val="1"/>
    </font>
    <font>
      <b val="true"/>
      <sz val="15"/>
      <color rgb="FF1D2B3A"/>
      <name val="Arial"/>
      <family val="0"/>
      <charset val="1"/>
    </font>
    <font>
      <sz val="8"/>
      <color rgb="FF1D2B3A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8"/>
      <color rgb="FF1D2B3A"/>
      <name val="Arial"/>
      <family val="0"/>
      <charset val="1"/>
    </font>
    <font>
      <sz val="8"/>
      <color rgb="FF9FB3C8"/>
      <name val="Arial"/>
      <family val="0"/>
      <charset val="1"/>
    </font>
    <font>
      <b val="true"/>
      <sz val="9"/>
      <color rgb="FF1D2B3A"/>
      <name val="Arial"/>
      <family val="2"/>
    </font>
    <font>
      <sz val="8"/>
      <color rgb="FF1D2B3A"/>
      <name val="Arial"/>
      <family val="2"/>
    </font>
    <font>
      <sz val="8"/>
      <color rgb="FF6B7785"/>
      <name val="Arial"/>
      <family val="2"/>
    </font>
    <font>
      <b val="true"/>
      <sz val="18"/>
      <color rgb="FFFFFFFF"/>
      <name val="Arial"/>
      <family val="0"/>
      <charset val="1"/>
    </font>
    <font>
      <sz val="10"/>
      <color rgb="FF1D2B3A"/>
      <name val="Arial"/>
      <family val="0"/>
      <charset val="1"/>
    </font>
    <font>
      <b val="true"/>
      <sz val="10"/>
      <color rgb="FF1D2B3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E4572E"/>
      <name val="Arial"/>
      <family val="0"/>
      <charset val="1"/>
    </font>
    <font>
      <b val="true"/>
      <sz val="9"/>
      <color rgb="FF1B998B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9"/>
      <color rgb="FF6B778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b val="true"/>
      <u val="single"/>
      <sz val="10"/>
      <color rgb="FF3D5A80"/>
      <name val="Arial"/>
      <family val="0"/>
      <charset val="1"/>
    </font>
    <font>
      <i val="true"/>
      <sz val="9"/>
      <color rgb="FF6B7785"/>
      <name val="Arial"/>
      <family val="0"/>
      <charset val="1"/>
    </font>
    <font>
      <sz val="10"/>
      <color rgb="FF007A33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B1F33"/>
        <bgColor rgb="FF1D2B3A"/>
      </patternFill>
    </fill>
    <fill>
      <patternFill patternType="solid">
        <fgColor rgb="FFE4572E"/>
        <bgColor rgb="FFFF8080"/>
      </patternFill>
    </fill>
    <fill>
      <patternFill patternType="solid">
        <fgColor rgb="FFEEF1F5"/>
        <bgColor rgb="FFF1F3F6"/>
      </patternFill>
    </fill>
    <fill>
      <patternFill patternType="solid">
        <fgColor rgb="FFFFFFFF"/>
        <bgColor rgb="FFF4F6F9"/>
      </patternFill>
    </fill>
    <fill>
      <patternFill patternType="solid">
        <fgColor rgb="FFFFF4CC"/>
        <bgColor rgb="FFFBE3DC"/>
      </patternFill>
    </fill>
    <fill>
      <patternFill patternType="solid">
        <fgColor rgb="FFF2B134"/>
        <bgColor rgb="FFFFCC00"/>
      </patternFill>
    </fill>
    <fill>
      <patternFill patternType="solid">
        <fgColor rgb="FFA9DDD3"/>
        <bgColor rgb="FFD5DBE3"/>
      </patternFill>
    </fill>
    <fill>
      <patternFill patternType="solid">
        <fgColor rgb="FF3D5A80"/>
        <bgColor rgb="FF333399"/>
      </patternFill>
    </fill>
    <fill>
      <patternFill patternType="solid">
        <fgColor rgb="FFF4F6F9"/>
        <bgColor rgb="FFF1F3F6"/>
      </patternFill>
    </fill>
  </fills>
  <borders count="27">
    <border diagonalUp="false" diagonalDown="false">
      <left/>
      <right/>
      <top/>
      <bottom/>
      <diagonal/>
    </border>
    <border diagonalUp="false" diagonalDown="false">
      <left style="thin">
        <color rgb="FFD5DBE3"/>
      </left>
      <right/>
      <top style="thin">
        <color rgb="FFD5DBE3"/>
      </top>
      <bottom style="thin">
        <color rgb="FFD5DBE3"/>
      </bottom>
      <diagonal/>
    </border>
    <border diagonalUp="false" diagonalDown="false">
      <left style="medium">
        <color rgb="FFF2B134"/>
      </left>
      <right style="medium">
        <color rgb="FFF2B134"/>
      </right>
      <top style="medium">
        <color rgb="FFF2B134"/>
      </top>
      <bottom style="medium">
        <color rgb="FFF2B134"/>
      </bottom>
      <diagonal/>
    </border>
    <border diagonalUp="false" diagonalDown="false">
      <left/>
      <right/>
      <top style="thin">
        <color rgb="FFD5DBE3"/>
      </top>
      <bottom style="thin">
        <color rgb="FFD5DBE3"/>
      </bottom>
      <diagonal/>
    </border>
    <border diagonalUp="false" diagonalDown="false">
      <left/>
      <right style="thin">
        <color rgb="FFD5DBE3"/>
      </right>
      <top style="thin">
        <color rgb="FFD5DBE3"/>
      </top>
      <bottom style="thin">
        <color rgb="FFD5DBE3"/>
      </bottom>
      <diagonal/>
    </border>
    <border diagonalUp="false" diagonalDown="false">
      <left style="thin">
        <color rgb="FFD5DBE3"/>
      </left>
      <right/>
      <top style="thick">
        <color rgb="FF3D5A80"/>
      </top>
      <bottom/>
      <diagonal/>
    </border>
    <border diagonalUp="false" diagonalDown="false">
      <left style="thin">
        <color rgb="FFD5DBE3"/>
      </left>
      <right/>
      <top style="thick">
        <color rgb="FFE4572E"/>
      </top>
      <bottom/>
      <diagonal/>
    </border>
    <border diagonalUp="false" diagonalDown="false">
      <left style="thin">
        <color rgb="FFD5DBE3"/>
      </left>
      <right/>
      <top style="thick">
        <color rgb="FF0B1F33"/>
      </top>
      <bottom/>
      <diagonal/>
    </border>
    <border diagonalUp="false" diagonalDown="false">
      <left style="thin">
        <color rgb="FFD5DBE3"/>
      </left>
      <right style="thin">
        <color rgb="FFD5DBE3"/>
      </right>
      <top style="thick">
        <color rgb="FFF2B134"/>
      </top>
      <bottom/>
      <diagonal/>
    </border>
    <border diagonalUp="false" diagonalDown="false">
      <left style="thin">
        <color rgb="FFD5DBE3"/>
      </left>
      <right/>
      <top/>
      <bottom/>
      <diagonal/>
    </border>
    <border diagonalUp="false" diagonalDown="false">
      <left style="thin">
        <color rgb="FFD5DBE3"/>
      </left>
      <right style="thin">
        <color rgb="FFD5DBE3"/>
      </right>
      <top/>
      <bottom/>
      <diagonal/>
    </border>
    <border diagonalUp="false" diagonalDown="false">
      <left style="thin">
        <color rgb="FFD5DBE3"/>
      </left>
      <right/>
      <top/>
      <bottom style="thin">
        <color rgb="FFD5DBE3"/>
      </bottom>
      <diagonal/>
    </border>
    <border diagonalUp="false" diagonalDown="false">
      <left style="thin">
        <color rgb="FFD5DBE3"/>
      </left>
      <right style="thin">
        <color rgb="FFD5DBE3"/>
      </right>
      <top/>
      <bottom style="thin">
        <color rgb="FFD5DBE3"/>
      </bottom>
      <diagonal/>
    </border>
    <border diagonalUp="false" diagonalDown="false">
      <left style="thick">
        <color rgb="FFE4572E"/>
      </left>
      <right style="thin">
        <color rgb="FFD5DBE3"/>
      </right>
      <top style="thin">
        <color rgb="FFD5DBE3"/>
      </top>
      <bottom/>
      <diagonal/>
    </border>
    <border diagonalUp="false" diagonalDown="false">
      <left/>
      <right style="thin">
        <color rgb="FFD5DBE3"/>
      </right>
      <top/>
      <bottom/>
      <diagonal/>
    </border>
    <border diagonalUp="false" diagonalDown="false">
      <left/>
      <right/>
      <top/>
      <bottom style="thin">
        <color rgb="FFD5DBE3"/>
      </bottom>
      <diagonal/>
    </border>
    <border diagonalUp="false" diagonalDown="false">
      <left/>
      <right style="thin">
        <color rgb="FFD5DBE3"/>
      </right>
      <top/>
      <bottom style="thin">
        <color rgb="FFD5DBE3"/>
      </bottom>
      <diagonal/>
    </border>
    <border diagonalUp="false" diagonalDown="false">
      <left style="thin">
        <color rgb="FFD5DBE3"/>
      </left>
      <right/>
      <top/>
      <bottom style="thin">
        <color rgb="FF0B1F33"/>
      </bottom>
      <diagonal/>
    </border>
    <border diagonalUp="false" diagonalDown="false">
      <left/>
      <right/>
      <top/>
      <bottom style="thin">
        <color rgb="FF0B1F33"/>
      </bottom>
      <diagonal/>
    </border>
    <border diagonalUp="false" diagonalDown="false">
      <left/>
      <right style="thin">
        <color rgb="FFD5DBE3"/>
      </right>
      <top/>
      <bottom style="thin">
        <color rgb="FF0B1F33"/>
      </bottom>
      <diagonal/>
    </border>
    <border diagonalUp="false" diagonalDown="false"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 diagonalUp="false" diagonalDown="false">
      <left/>
      <right/>
      <top/>
      <bottom style="thin">
        <color rgb="FFE6EAF0"/>
      </bottom>
      <diagonal/>
    </border>
    <border diagonalUp="false" diagonalDown="false"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 diagonalUp="false" diagonalDown="false">
      <left/>
      <right style="thin">
        <color rgb="FFD5DBE3"/>
      </right>
      <top/>
      <bottom style="thin">
        <color rgb="FFE6EAF0"/>
      </bottom>
      <diagonal/>
    </border>
    <border diagonalUp="false" diagonalDown="false"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 diagonalUp="false" diagonalDown="false">
      <left/>
      <right/>
      <top/>
      <bottom style="medium">
        <color rgb="FFE4572E"/>
      </bottom>
      <diagonal/>
    </border>
    <border diagonalUp="false" diagonalDown="false">
      <left/>
      <right/>
      <top style="thin">
        <color rgb="FF0B1F33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5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0" fillId="5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5" borderId="5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1" fillId="5" borderId="6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1" fillId="5" borderId="7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1" fillId="5" borderId="8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12" fillId="5" borderId="9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3" fillId="5" borderId="9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12" fillId="5" borderId="9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14" fillId="5" borderId="1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5" borderId="11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4" fontId="15" fillId="5" borderId="12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4" fontId="9" fillId="5" borderId="1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5" borderId="10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4" fontId="0" fillId="5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5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2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8" fillId="5" borderId="9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9" fillId="5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2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5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9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1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8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0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23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9" fillId="0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2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0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2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8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9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8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8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8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9" fillId="0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29" fillId="0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9" fillId="0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9" fillId="10" borderId="2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1" fillId="1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9" fillId="1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9" fillId="1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8" fillId="0" borderId="2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8" fontId="28" fillId="0" borderId="2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4" fontId="28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8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9" fillId="1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1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4" fillId="6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2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2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21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4" fontId="28" fillId="0" borderId="2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8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6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9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8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4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34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6" fontId="34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2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2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2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6" fontId="2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30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0" fillId="0" borderId="2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8" fillId="0" borderId="2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1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31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9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6" fontId="29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ont>
        <name val="Arial"/>
        <charset val="1"/>
        <family val="0"/>
        <b val="1"/>
        <color rgb="FFFFFFFF"/>
      </font>
      <fill>
        <patternFill>
          <bgColor rgb="FFE4572E"/>
        </patternFill>
      </fill>
    </dxf>
    <dxf>
      <font>
        <name val="Arial"/>
        <charset val="1"/>
        <family val="0"/>
        <color rgb="FF1D2B3A"/>
      </font>
      <fill>
        <patternFill>
          <bgColor rgb="FFF2B134"/>
        </patternFill>
      </fill>
    </dxf>
    <dxf>
      <font>
        <name val="Arial"/>
        <charset val="1"/>
        <family val="0"/>
        <color rgb="FF1D2B3A"/>
      </font>
      <fill>
        <patternFill>
          <bgColor rgb="FFA9DDD3"/>
        </patternFill>
      </fill>
    </dxf>
    <dxf>
      <font>
        <name val="Arial"/>
        <charset val="1"/>
        <family val="0"/>
        <color rgb="FF6B7785"/>
      </font>
      <fill>
        <patternFill>
          <bgColor rgb="FFF1F3F6"/>
        </patternFill>
      </fill>
    </dxf>
    <dxf>
      <font>
        <name val="Arial"/>
        <charset val="1"/>
        <family val="0"/>
        <color rgb="FFE4572E"/>
      </font>
    </dxf>
    <dxf>
      <font>
        <name val="Arial"/>
        <charset val="1"/>
        <family val="0"/>
        <color rgb="FF1B998B"/>
      </font>
    </dxf>
    <dxf>
      <fill>
        <patternFill patternType="solid">
          <fgColor rgb="FF0B1F3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D2B3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1B998B"/>
          <bgColor rgb="FF000000"/>
        </patternFill>
      </fill>
    </dxf>
    <dxf>
      <fill>
        <patternFill>
          <bgColor rgb="FFF4CCCC"/>
        </patternFill>
      </fill>
    </dxf>
    <dxf>
      <font>
        <name val="Arial"/>
        <charset val="1"/>
        <family val="0"/>
        <b val="1"/>
        <color rgb="FFE4572E"/>
      </font>
      <fill>
        <patternFill>
          <bgColor rgb="FFFBE3D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7A33"/>
      <rgbColor rgb="FF000080"/>
      <rgbColor rgb="FF808000"/>
      <rgbColor rgb="FF800080"/>
      <rgbColor rgb="FF008080"/>
      <rgbColor rgb="FF9FB3C8"/>
      <rgbColor rgb="FF6B7785"/>
      <rgbColor rgb="FF9999FF"/>
      <rgbColor rgb="FF993366"/>
      <rgbColor rgb="FFFFF4CC"/>
      <rgbColor rgb="FFEEF1F5"/>
      <rgbColor rgb="FF660066"/>
      <rgbColor rgb="FFFF8080"/>
      <rgbColor rgb="FF0066CC"/>
      <rgbColor rgb="FFD5DB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AF0"/>
      <rgbColor rgb="FFF1F3F6"/>
      <rgbColor rgb="FFFBE3DC"/>
      <rgbColor rgb="FFA9DDD3"/>
      <rgbColor rgb="FFF4F6F9"/>
      <rgbColor rgb="FFCC99FF"/>
      <rgbColor rgb="FFF4CCCC"/>
      <rgbColor rgb="FF3366FF"/>
      <rgbColor rgb="FF33CCCC"/>
      <rgbColor rgb="FF99CC00"/>
      <rgbColor rgb="FFFFCC00"/>
      <rgbColor rgb="FFF2B134"/>
      <rgbColor rgb="FFE4572E"/>
      <rgbColor rgb="FF3D5A80"/>
      <rgbColor rgb="FF8A94A0"/>
      <rgbColor rgb="FF0B1F33"/>
      <rgbColor rgb="FF1B998B"/>
      <rgbColor rgb="FF003300"/>
      <rgbColor rgb="FF333300"/>
      <rgbColor rgb="FF993300"/>
      <rgbColor rgb="FF993366"/>
      <rgbColor rgb="FF333399"/>
      <rgbColor rgb="FF1D2B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'Chart Data'!F23</c:f>
              <c:strCache>
                <c:ptCount val="1"/>
                <c:pt idx="0">
                  <c:v>Highlight</c:v>
                </c:pt>
              </c:strCache>
            </c:strRef>
          </c:tx>
          <c:spPr>
            <a:solidFill>
              <a:srgbClr val="e4572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Data'!$I$24:$I$26</c:f>
              <c:strCache>
                <c:ptCount val="3"/>
                <c:pt idx="0">
                  <c:v>Monthly
n=75</c:v>
                </c:pt>
                <c:pt idx="1">
                  <c:v>Quarterly
n=41</c:v>
                </c:pt>
                <c:pt idx="2">
                  <c:v>Annual
n=34</c:v>
                </c:pt>
              </c:strCache>
            </c:strRef>
          </c:cat>
          <c:val>
            <c:numRef>
              <c:f>'Chart Data'!$F$24:$F$26</c:f>
              <c:numCache>
                <c:formatCode>0.0%</c:formatCode>
                <c:ptCount val="3"/>
                <c:pt idx="0">
                  <c:v>0.346666666666667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'Chart Data'!G23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3d5a8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Data'!$I$24:$I$26</c:f>
              <c:strCache>
                <c:ptCount val="3"/>
                <c:pt idx="0">
                  <c:v>Monthly
n=75</c:v>
                </c:pt>
                <c:pt idx="1">
                  <c:v>Quarterly
n=41</c:v>
                </c:pt>
                <c:pt idx="2">
                  <c:v>Annual
n=34</c:v>
                </c:pt>
              </c:strCache>
            </c:strRef>
          </c:cat>
          <c:val>
            <c:numRef>
              <c:f>'Chart Data'!$G$24:$G$26</c:f>
              <c:numCache>
                <c:formatCode>0.0%</c:formatCode>
                <c:ptCount val="3"/>
                <c:pt idx="0">
                  <c:v>0</c:v>
                </c:pt>
                <c:pt idx="1">
                  <c:v>0.292682926829268</c:v>
                </c:pt>
                <c:pt idx="2">
                  <c:v>0.147058823529412</c:v>
                </c:pt>
              </c:numCache>
            </c:numRef>
          </c:val>
        </c:ser>
        <c:gapWidth val="55"/>
        <c:overlap val="100"/>
        <c:axId val="92300931"/>
        <c:axId val="22594894"/>
      </c:barChart>
      <c:lineChart>
        <c:grouping val="standard"/>
        <c:varyColors val="0"/>
        <c:ser>
          <c:idx val="2"/>
          <c:order val="2"/>
          <c:tx>
            <c:strRef>
              <c:f>'Chart Data'!H23</c:f>
              <c:strCache>
                <c:ptCount val="1"/>
                <c:pt idx="0">
                  <c:v>Benchmark</c:v>
                </c:pt>
              </c:strCache>
            </c:strRef>
          </c:tx>
          <c:spPr>
            <a:solidFill>
              <a:srgbClr val="8a94a0"/>
            </a:solidFill>
            <a:ln w="19080">
              <a:solidFill>
                <a:srgbClr val="8a94a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Data'!$I$24:$I$26</c:f>
              <c:strCache>
                <c:ptCount val="3"/>
                <c:pt idx="0">
                  <c:v>Monthly
n=75</c:v>
                </c:pt>
                <c:pt idx="1">
                  <c:v>Quarterly
n=41</c:v>
                </c:pt>
                <c:pt idx="2">
                  <c:v>Annual
n=34</c:v>
                </c:pt>
              </c:strCache>
            </c:strRef>
          </c:cat>
          <c:val>
            <c:numRef>
              <c:f>'Chart Data'!$H$24:$H$26</c:f>
              <c:numCache>
                <c:formatCode>0.0%</c:formatCode>
                <c:ptCount val="3"/>
                <c:pt idx="0">
                  <c:v>0.286666666666667</c:v>
                </c:pt>
                <c:pt idx="1">
                  <c:v>0.286666666666667</c:v>
                </c:pt>
                <c:pt idx="2">
                  <c:v>0.286666666666667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'Chart Data'!E23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none"/>
          </c:marker>
          <c:dLbls>
            <c:numFmt formatCode="0.0%" sourceLinked="1"/>
            <c:txPr>
              <a:bodyPr wrap="square"/>
              <a:lstStyle/>
              <a:p>
                <a:pPr>
                  <a:defRPr b="1" sz="900" spc="-1" strike="noStrike">
                    <a:solidFill>
                      <a:srgbClr val="1d2b3a"/>
                    </a:solidFill>
                    <a:latin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Data'!$I$24:$I$26</c:f>
              <c:strCache>
                <c:ptCount val="3"/>
                <c:pt idx="0">
                  <c:v>Monthly
n=75</c:v>
                </c:pt>
                <c:pt idx="1">
                  <c:v>Quarterly
n=41</c:v>
                </c:pt>
                <c:pt idx="2">
                  <c:v>Annual
n=34</c:v>
                </c:pt>
              </c:strCache>
            </c:strRef>
          </c:cat>
          <c:val>
            <c:numRef>
              <c:f>'Chart Data'!$E$24:$E$26</c:f>
              <c:numCache>
                <c:formatCode>0.0%</c:formatCode>
                <c:ptCount val="3"/>
                <c:pt idx="0">
                  <c:v>0.346666666666667</c:v>
                </c:pt>
                <c:pt idx="1">
                  <c:v>0.292682926829268</c:v>
                </c:pt>
                <c:pt idx="2">
                  <c:v>0.147058823529412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2300931"/>
        <c:axId val="22594894"/>
      </c:lineChart>
      <c:catAx>
        <c:axId val="923009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5dbe3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1d2b3a"/>
                </a:solidFill>
                <a:latin typeface="Arial"/>
              </a:defRPr>
            </a:pPr>
          </a:p>
        </c:txPr>
        <c:crossAx val="22594894"/>
        <c:crosses val="autoZero"/>
        <c:auto val="1"/>
        <c:lblAlgn val="ctr"/>
        <c:lblOffset val="100"/>
        <c:noMultiLvlLbl val="0"/>
      </c:catAx>
      <c:valAx>
        <c:axId val="22594894"/>
        <c:scaling>
          <c:orientation val="minMax"/>
          <c:min val="0"/>
        </c:scaling>
        <c:delete val="0"/>
        <c:axPos val="l"/>
        <c:majorGridlines>
          <c:spPr>
            <a:ln w="6480">
              <a:solidFill>
                <a:srgbClr val="e6eaf0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785"/>
                </a:solidFill>
                <a:latin typeface="Arial"/>
              </a:defRPr>
            </a:pPr>
          </a:p>
        </c:txPr>
        <c:crossAx val="9230093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noFill/>
    <a:ln w="936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'Chart Data'!F29</c:f>
              <c:strCache>
                <c:ptCount val="1"/>
                <c:pt idx="0">
                  <c:v>Highlight</c:v>
                </c:pt>
              </c:strCache>
            </c:strRef>
          </c:tx>
          <c:spPr>
            <a:solidFill>
              <a:srgbClr val="e4572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Data'!$I$30:$I$32</c:f>
              <c:strCache>
                <c:ptCount val="3"/>
                <c:pt idx="0">
                  <c:v>Basic
n=73</c:v>
                </c:pt>
                <c:pt idx="1">
                  <c:v>Standard
n=51</c:v>
                </c:pt>
                <c:pt idx="2">
                  <c:v>Premium
n=26</c:v>
                </c:pt>
              </c:strCache>
            </c:strRef>
          </c:cat>
          <c:val>
            <c:numRef>
              <c:f>'Chart Data'!$F$30:$F$32</c:f>
              <c:numCache>
                <c:formatCode>0.0%</c:formatCode>
                <c:ptCount val="3"/>
                <c:pt idx="0">
                  <c:v>0.342465753424658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'Chart Data'!G29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3d5a8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Data'!$I$30:$I$32</c:f>
              <c:strCache>
                <c:ptCount val="3"/>
                <c:pt idx="0">
                  <c:v>Basic
n=73</c:v>
                </c:pt>
                <c:pt idx="1">
                  <c:v>Standard
n=51</c:v>
                </c:pt>
                <c:pt idx="2">
                  <c:v>Premium
n=26</c:v>
                </c:pt>
              </c:strCache>
            </c:strRef>
          </c:cat>
          <c:val>
            <c:numRef>
              <c:f>'Chart Data'!$G$30:$G$32</c:f>
              <c:numCache>
                <c:formatCode>0.0%</c:formatCode>
                <c:ptCount val="3"/>
                <c:pt idx="0">
                  <c:v>0</c:v>
                </c:pt>
                <c:pt idx="1">
                  <c:v>0.254901960784314</c:v>
                </c:pt>
                <c:pt idx="2">
                  <c:v>0.192307692307692</c:v>
                </c:pt>
              </c:numCache>
            </c:numRef>
          </c:val>
        </c:ser>
        <c:gapWidth val="55"/>
        <c:overlap val="100"/>
        <c:axId val="41958115"/>
        <c:axId val="25860024"/>
      </c:barChart>
      <c:lineChart>
        <c:grouping val="standard"/>
        <c:varyColors val="0"/>
        <c:ser>
          <c:idx val="2"/>
          <c:order val="2"/>
          <c:tx>
            <c:strRef>
              <c:f>'Chart Data'!H29</c:f>
              <c:strCache>
                <c:ptCount val="1"/>
                <c:pt idx="0">
                  <c:v>Benchmark</c:v>
                </c:pt>
              </c:strCache>
            </c:strRef>
          </c:tx>
          <c:spPr>
            <a:solidFill>
              <a:srgbClr val="8a94a0"/>
            </a:solidFill>
            <a:ln w="19080">
              <a:solidFill>
                <a:srgbClr val="8a94a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Data'!$I$30:$I$32</c:f>
              <c:strCache>
                <c:ptCount val="3"/>
                <c:pt idx="0">
                  <c:v>Basic
n=73</c:v>
                </c:pt>
                <c:pt idx="1">
                  <c:v>Standard
n=51</c:v>
                </c:pt>
                <c:pt idx="2">
                  <c:v>Premium
n=26</c:v>
                </c:pt>
              </c:strCache>
            </c:strRef>
          </c:cat>
          <c:val>
            <c:numRef>
              <c:f>'Chart Data'!$H$30:$H$32</c:f>
              <c:numCache>
                <c:formatCode>0.0%</c:formatCode>
                <c:ptCount val="3"/>
                <c:pt idx="0">
                  <c:v>0.286666666666667</c:v>
                </c:pt>
                <c:pt idx="1">
                  <c:v>0.286666666666667</c:v>
                </c:pt>
                <c:pt idx="2">
                  <c:v>0.286666666666667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'Chart Data'!E29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none"/>
          </c:marker>
          <c:dLbls>
            <c:numFmt formatCode="0.0%" sourceLinked="1"/>
            <c:txPr>
              <a:bodyPr wrap="square"/>
              <a:lstStyle/>
              <a:p>
                <a:pPr>
                  <a:defRPr b="1" sz="900" spc="-1" strike="noStrike">
                    <a:solidFill>
                      <a:srgbClr val="1d2b3a"/>
                    </a:solidFill>
                    <a:latin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Data'!$I$30:$I$32</c:f>
              <c:strCache>
                <c:ptCount val="3"/>
                <c:pt idx="0">
                  <c:v>Basic
n=73</c:v>
                </c:pt>
                <c:pt idx="1">
                  <c:v>Standard
n=51</c:v>
                </c:pt>
                <c:pt idx="2">
                  <c:v>Premium
n=26</c:v>
                </c:pt>
              </c:strCache>
            </c:strRef>
          </c:cat>
          <c:val>
            <c:numRef>
              <c:f>'Chart Data'!$E$30:$E$32</c:f>
              <c:numCache>
                <c:formatCode>0.0%</c:formatCode>
                <c:ptCount val="3"/>
                <c:pt idx="0">
                  <c:v>0.342465753424658</c:v>
                </c:pt>
                <c:pt idx="1">
                  <c:v>0.254901960784314</c:v>
                </c:pt>
                <c:pt idx="2">
                  <c:v>0.192307692307692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1958115"/>
        <c:axId val="25860024"/>
      </c:lineChart>
      <c:catAx>
        <c:axId val="419581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5dbe3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1d2b3a"/>
                </a:solidFill>
                <a:latin typeface="Arial"/>
              </a:defRPr>
            </a:pPr>
          </a:p>
        </c:txPr>
        <c:crossAx val="25860024"/>
        <c:crosses val="autoZero"/>
        <c:auto val="1"/>
        <c:lblAlgn val="ctr"/>
        <c:lblOffset val="100"/>
        <c:noMultiLvlLbl val="0"/>
      </c:catAx>
      <c:valAx>
        <c:axId val="25860024"/>
        <c:scaling>
          <c:orientation val="minMax"/>
          <c:min val="0"/>
        </c:scaling>
        <c:delete val="0"/>
        <c:axPos val="l"/>
        <c:majorGridlines>
          <c:spPr>
            <a:ln w="6480">
              <a:solidFill>
                <a:srgbClr val="e6eaf0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785"/>
                </a:solidFill>
                <a:latin typeface="Arial"/>
              </a:defRPr>
            </a:pPr>
          </a:p>
        </c:txPr>
        <c:crossAx val="4195811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noFill/>
    <a:ln w="936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'Chart Data'!F35</c:f>
              <c:strCache>
                <c:ptCount val="1"/>
                <c:pt idx="0">
                  <c:v>Highlight</c:v>
                </c:pt>
              </c:strCache>
            </c:strRef>
          </c:tx>
          <c:spPr>
            <a:solidFill>
              <a:srgbClr val="e4572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Data'!$I$36:$I$40</c:f>
              <c:strCache>
                <c:ptCount val="5"/>
                <c:pt idx="0">
                  <c:v>Abuja
n=31</c:v>
                </c:pt>
                <c:pt idx="1">
                  <c:v>Lagos
n=31</c:v>
                </c:pt>
                <c:pt idx="2">
                  <c:v>Port Harcourt
n=36</c:v>
                </c:pt>
                <c:pt idx="3">
                  <c:v>Kano
n=26</c:v>
                </c:pt>
                <c:pt idx="4">
                  <c:v>Ibadan
n=26</c:v>
                </c:pt>
              </c:strCache>
            </c:strRef>
          </c:cat>
          <c:val>
            <c:numRef>
              <c:f>'Chart Data'!$F$36:$F$40</c:f>
              <c:numCache>
                <c:formatCode>0.0%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0.346153846153846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strRef>
              <c:f>'Chart Data'!G35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3d5a8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Data'!$I$36:$I$40</c:f>
              <c:strCache>
                <c:ptCount val="5"/>
                <c:pt idx="0">
                  <c:v>Abuja
n=31</c:v>
                </c:pt>
                <c:pt idx="1">
                  <c:v>Lagos
n=31</c:v>
                </c:pt>
                <c:pt idx="2">
                  <c:v>Port Harcourt
n=36</c:v>
                </c:pt>
                <c:pt idx="3">
                  <c:v>Kano
n=26</c:v>
                </c:pt>
                <c:pt idx="4">
                  <c:v>Ibadan
n=26</c:v>
                </c:pt>
              </c:strCache>
            </c:strRef>
          </c:cat>
          <c:val>
            <c:numRef>
              <c:f>'Chart Data'!$G$36:$G$40</c:f>
              <c:numCache>
                <c:formatCode>0.0%</c:formatCode>
                <c:ptCount val="5"/>
                <c:pt idx="0">
                  <c:v>0.32258064516129</c:v>
                </c:pt>
                <c:pt idx="1">
                  <c:v>0.290322580645161</c:v>
                </c:pt>
                <c:pt idx="2">
                  <c:v>0.25</c:v>
                </c:pt>
                <c:pt idx="3">
                  <c:v>0</c:v>
                </c:pt>
                <c:pt idx="4">
                  <c:v>0.230769230769231</c:v>
                </c:pt>
              </c:numCache>
            </c:numRef>
          </c:val>
        </c:ser>
        <c:gapWidth val="55"/>
        <c:overlap val="100"/>
        <c:axId val="87386328"/>
        <c:axId val="70758"/>
      </c:barChart>
      <c:lineChart>
        <c:grouping val="standard"/>
        <c:varyColors val="0"/>
        <c:ser>
          <c:idx val="2"/>
          <c:order val="2"/>
          <c:tx>
            <c:strRef>
              <c:f>'Chart Data'!H35</c:f>
              <c:strCache>
                <c:ptCount val="1"/>
                <c:pt idx="0">
                  <c:v>Benchmark</c:v>
                </c:pt>
              </c:strCache>
            </c:strRef>
          </c:tx>
          <c:spPr>
            <a:solidFill>
              <a:srgbClr val="8a94a0"/>
            </a:solidFill>
            <a:ln w="19080">
              <a:solidFill>
                <a:srgbClr val="8a94a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Data'!$I$36:$I$40</c:f>
              <c:strCache>
                <c:ptCount val="5"/>
                <c:pt idx="0">
                  <c:v>Abuja
n=31</c:v>
                </c:pt>
                <c:pt idx="1">
                  <c:v>Lagos
n=31</c:v>
                </c:pt>
                <c:pt idx="2">
                  <c:v>Port Harcourt
n=36</c:v>
                </c:pt>
                <c:pt idx="3">
                  <c:v>Kano
n=26</c:v>
                </c:pt>
                <c:pt idx="4">
                  <c:v>Ibadan
n=26</c:v>
                </c:pt>
              </c:strCache>
            </c:strRef>
          </c:cat>
          <c:val>
            <c:numRef>
              <c:f>'Chart Data'!$H$36:$H$40</c:f>
              <c:numCache>
                <c:formatCode>0.0%</c:formatCode>
                <c:ptCount val="5"/>
                <c:pt idx="0">
                  <c:v>0.286666666666667</c:v>
                </c:pt>
                <c:pt idx="1">
                  <c:v>0.286666666666667</c:v>
                </c:pt>
                <c:pt idx="2">
                  <c:v>0.286666666666667</c:v>
                </c:pt>
                <c:pt idx="3">
                  <c:v>0.286666666666667</c:v>
                </c:pt>
                <c:pt idx="4">
                  <c:v>0.286666666666667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'Chart Data'!E35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none"/>
          </c:marker>
          <c:dLbls>
            <c:numFmt formatCode="0.0%" sourceLinked="1"/>
            <c:txPr>
              <a:bodyPr wrap="square"/>
              <a:lstStyle/>
              <a:p>
                <a:pPr>
                  <a:defRPr b="1" sz="900" spc="-1" strike="noStrike">
                    <a:solidFill>
                      <a:srgbClr val="1d2b3a"/>
                    </a:solidFill>
                    <a:latin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Data'!$I$36:$I$40</c:f>
              <c:strCache>
                <c:ptCount val="5"/>
                <c:pt idx="0">
                  <c:v>Abuja
n=31</c:v>
                </c:pt>
                <c:pt idx="1">
                  <c:v>Lagos
n=31</c:v>
                </c:pt>
                <c:pt idx="2">
                  <c:v>Port Harcourt
n=36</c:v>
                </c:pt>
                <c:pt idx="3">
                  <c:v>Kano
n=26</c:v>
                </c:pt>
                <c:pt idx="4">
                  <c:v>Ibadan
n=26</c:v>
                </c:pt>
              </c:strCache>
            </c:strRef>
          </c:cat>
          <c:val>
            <c:numRef>
              <c:f>'Chart Data'!$E$36:$E$40</c:f>
              <c:numCache>
                <c:formatCode>0.0%</c:formatCode>
                <c:ptCount val="5"/>
                <c:pt idx="0">
                  <c:v>0.32258064516129</c:v>
                </c:pt>
                <c:pt idx="1">
                  <c:v>0.290322580645161</c:v>
                </c:pt>
                <c:pt idx="2">
                  <c:v>0.25</c:v>
                </c:pt>
                <c:pt idx="3">
                  <c:v>0.346153846153846</c:v>
                </c:pt>
                <c:pt idx="4">
                  <c:v>0.230769230769231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7386328"/>
        <c:axId val="70758"/>
      </c:lineChart>
      <c:catAx>
        <c:axId val="87386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5dbe3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1d2b3a"/>
                </a:solidFill>
                <a:latin typeface="Arial"/>
              </a:defRPr>
            </a:pPr>
          </a:p>
        </c:txPr>
        <c:crossAx val="70758"/>
        <c:crosses val="autoZero"/>
        <c:auto val="1"/>
        <c:lblAlgn val="ctr"/>
        <c:lblOffset val="100"/>
        <c:noMultiLvlLbl val="0"/>
      </c:catAx>
      <c:valAx>
        <c:axId val="70758"/>
        <c:scaling>
          <c:orientation val="minMax"/>
          <c:min val="0"/>
        </c:scaling>
        <c:delete val="0"/>
        <c:axPos val="l"/>
        <c:majorGridlines>
          <c:spPr>
            <a:ln w="6480">
              <a:solidFill>
                <a:srgbClr val="e6eaf0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785"/>
                </a:solidFill>
                <a:latin typeface="Arial"/>
              </a:defRPr>
            </a:pPr>
          </a:p>
        </c:txPr>
        <c:crossAx val="8738632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noFill/>
    <a:ln w="936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'Chart Data'!F43</c:f>
              <c:strCache>
                <c:ptCount val="1"/>
                <c:pt idx="0">
                  <c:v>Highlight</c:v>
                </c:pt>
              </c:strCache>
            </c:strRef>
          </c:tx>
          <c:spPr>
            <a:solidFill>
              <a:srgbClr val="e4572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Data'!$I$44:$I$47</c:f>
              <c:strCache>
                <c:ptCount val="4"/>
                <c:pt idx="0">
                  <c:v>0-6
n=24</c:v>
                </c:pt>
                <c:pt idx="1">
                  <c:v>7-12
n=20</c:v>
                </c:pt>
                <c:pt idx="2">
                  <c:v>13-24
n=56</c:v>
                </c:pt>
                <c:pt idx="3">
                  <c:v>25+
n=50</c:v>
                </c:pt>
              </c:strCache>
            </c:strRef>
          </c:cat>
          <c:val>
            <c:numRef>
              <c:f>'Chart Data'!$F$44:$F$47</c:f>
              <c:numCache>
                <c:formatCode>0.0%</c:formatCode>
                <c:ptCount val="4"/>
                <c:pt idx="0">
                  <c:v>0.375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strRef>
              <c:f>'Chart Data'!G43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3d5a8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Data'!$I$44:$I$47</c:f>
              <c:strCache>
                <c:ptCount val="4"/>
                <c:pt idx="0">
                  <c:v>0-6
n=24</c:v>
                </c:pt>
                <c:pt idx="1">
                  <c:v>7-12
n=20</c:v>
                </c:pt>
                <c:pt idx="2">
                  <c:v>13-24
n=56</c:v>
                </c:pt>
                <c:pt idx="3">
                  <c:v>25+
n=50</c:v>
                </c:pt>
              </c:strCache>
            </c:strRef>
          </c:cat>
          <c:val>
            <c:numRef>
              <c:f>'Chart Data'!$G$44:$G$47</c:f>
              <c:numCache>
                <c:formatCode>0.0%</c:formatCode>
                <c:ptCount val="4"/>
                <c:pt idx="0">
                  <c:v>0</c:v>
                </c:pt>
                <c:pt idx="1">
                  <c:v>0.25</c:v>
                </c:pt>
                <c:pt idx="2">
                  <c:v>0.214285714285714</c:v>
                </c:pt>
                <c:pt idx="3">
                  <c:v>0.34</c:v>
                </c:pt>
              </c:numCache>
            </c:numRef>
          </c:val>
        </c:ser>
        <c:gapWidth val="55"/>
        <c:overlap val="100"/>
        <c:axId val="89728428"/>
        <c:axId val="50673735"/>
      </c:barChart>
      <c:lineChart>
        <c:grouping val="standard"/>
        <c:varyColors val="0"/>
        <c:ser>
          <c:idx val="2"/>
          <c:order val="2"/>
          <c:tx>
            <c:strRef>
              <c:f>'Chart Data'!H43</c:f>
              <c:strCache>
                <c:ptCount val="1"/>
                <c:pt idx="0">
                  <c:v>Benchmark</c:v>
                </c:pt>
              </c:strCache>
            </c:strRef>
          </c:tx>
          <c:spPr>
            <a:solidFill>
              <a:srgbClr val="8a94a0"/>
            </a:solidFill>
            <a:ln w="19080">
              <a:solidFill>
                <a:srgbClr val="8a94a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Data'!$I$44:$I$47</c:f>
              <c:strCache>
                <c:ptCount val="4"/>
                <c:pt idx="0">
                  <c:v>0-6
n=24</c:v>
                </c:pt>
                <c:pt idx="1">
                  <c:v>7-12
n=20</c:v>
                </c:pt>
                <c:pt idx="2">
                  <c:v>13-24
n=56</c:v>
                </c:pt>
                <c:pt idx="3">
                  <c:v>25+
n=50</c:v>
                </c:pt>
              </c:strCache>
            </c:strRef>
          </c:cat>
          <c:val>
            <c:numRef>
              <c:f>'Chart Data'!$H$44:$H$47</c:f>
              <c:numCache>
                <c:formatCode>0.0%</c:formatCode>
                <c:ptCount val="4"/>
                <c:pt idx="0">
                  <c:v>0.286666666666667</c:v>
                </c:pt>
                <c:pt idx="1">
                  <c:v>0.286666666666667</c:v>
                </c:pt>
                <c:pt idx="2">
                  <c:v>0.286666666666667</c:v>
                </c:pt>
                <c:pt idx="3">
                  <c:v>0.286666666666667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'Chart Data'!E43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none"/>
          </c:marker>
          <c:dLbls>
            <c:numFmt formatCode="0.0%" sourceLinked="1"/>
            <c:txPr>
              <a:bodyPr wrap="square"/>
              <a:lstStyle/>
              <a:p>
                <a:pPr>
                  <a:defRPr b="1" sz="900" spc="-1" strike="noStrike">
                    <a:solidFill>
                      <a:srgbClr val="1d2b3a"/>
                    </a:solidFill>
                    <a:latin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Data'!$I$44:$I$47</c:f>
              <c:strCache>
                <c:ptCount val="4"/>
                <c:pt idx="0">
                  <c:v>0-6
n=24</c:v>
                </c:pt>
                <c:pt idx="1">
                  <c:v>7-12
n=20</c:v>
                </c:pt>
                <c:pt idx="2">
                  <c:v>13-24
n=56</c:v>
                </c:pt>
                <c:pt idx="3">
                  <c:v>25+
n=50</c:v>
                </c:pt>
              </c:strCache>
            </c:strRef>
          </c:cat>
          <c:val>
            <c:numRef>
              <c:f>'Chart Data'!$E$44:$E$47</c:f>
              <c:numCache>
                <c:formatCode>0.0%</c:formatCode>
                <c:ptCount val="4"/>
                <c:pt idx="0">
                  <c:v>0.375</c:v>
                </c:pt>
                <c:pt idx="1">
                  <c:v>0.25</c:v>
                </c:pt>
                <c:pt idx="2">
                  <c:v>0.214285714285714</c:v>
                </c:pt>
                <c:pt idx="3">
                  <c:v>0.34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9728428"/>
        <c:axId val="50673735"/>
      </c:lineChart>
      <c:catAx>
        <c:axId val="897284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5dbe3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1d2b3a"/>
                </a:solidFill>
                <a:latin typeface="Arial"/>
              </a:defRPr>
            </a:pPr>
          </a:p>
        </c:txPr>
        <c:crossAx val="50673735"/>
        <c:crosses val="autoZero"/>
        <c:auto val="1"/>
        <c:lblAlgn val="ctr"/>
        <c:lblOffset val="100"/>
        <c:noMultiLvlLbl val="0"/>
      </c:catAx>
      <c:valAx>
        <c:axId val="50673735"/>
        <c:scaling>
          <c:orientation val="minMax"/>
          <c:min val="0"/>
        </c:scaling>
        <c:delete val="0"/>
        <c:axPos val="l"/>
        <c:majorGridlines>
          <c:spPr>
            <a:ln w="6480">
              <a:solidFill>
                <a:srgbClr val="e6eaf0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785"/>
                </a:solidFill>
                <a:latin typeface="Arial"/>
              </a:defRPr>
            </a:pPr>
          </a:p>
        </c:txPr>
        <c:crossAx val="8972842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noFill/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57240</xdr:colOff>
      <xdr:row>13</xdr:row>
      <xdr:rowOff>19080</xdr:rowOff>
    </xdr:from>
    <xdr:to>
      <xdr:col>8</xdr:col>
      <xdr:colOff>380880</xdr:colOff>
      <xdr:row>27</xdr:row>
      <xdr:rowOff>171000</xdr:rowOff>
    </xdr:to>
    <xdr:graphicFrame>
      <xdr:nvGraphicFramePr>
        <xdr:cNvPr id="0" name="Chart 1"/>
        <xdr:cNvGraphicFramePr/>
      </xdr:nvGraphicFramePr>
      <xdr:xfrm>
        <a:off x="198360" y="2800440"/>
        <a:ext cx="3283920" cy="2818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57240</xdr:colOff>
      <xdr:row>13</xdr:row>
      <xdr:rowOff>19080</xdr:rowOff>
    </xdr:from>
    <xdr:to>
      <xdr:col>17</xdr:col>
      <xdr:colOff>380880</xdr:colOff>
      <xdr:row>27</xdr:row>
      <xdr:rowOff>171000</xdr:rowOff>
    </xdr:to>
    <xdr:graphicFrame>
      <xdr:nvGraphicFramePr>
        <xdr:cNvPr id="1" name="Chart 2"/>
        <xdr:cNvGraphicFramePr/>
      </xdr:nvGraphicFramePr>
      <xdr:xfrm>
        <a:off x="3679920" y="2800440"/>
        <a:ext cx="3283920" cy="2818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19</xdr:col>
      <xdr:colOff>57240</xdr:colOff>
      <xdr:row>13</xdr:row>
      <xdr:rowOff>19080</xdr:rowOff>
    </xdr:from>
    <xdr:to>
      <xdr:col>26</xdr:col>
      <xdr:colOff>380880</xdr:colOff>
      <xdr:row>27</xdr:row>
      <xdr:rowOff>171000</xdr:rowOff>
    </xdr:to>
    <xdr:graphicFrame>
      <xdr:nvGraphicFramePr>
        <xdr:cNvPr id="2" name="Chart 3"/>
        <xdr:cNvGraphicFramePr/>
      </xdr:nvGraphicFramePr>
      <xdr:xfrm>
        <a:off x="7161480" y="2800440"/>
        <a:ext cx="3284280" cy="2818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57240</xdr:colOff>
      <xdr:row>32</xdr:row>
      <xdr:rowOff>19080</xdr:rowOff>
    </xdr:from>
    <xdr:to>
      <xdr:col>8</xdr:col>
      <xdr:colOff>380880</xdr:colOff>
      <xdr:row>46</xdr:row>
      <xdr:rowOff>171000</xdr:rowOff>
    </xdr:to>
    <xdr:graphicFrame>
      <xdr:nvGraphicFramePr>
        <xdr:cNvPr id="3" name="Chart 4"/>
        <xdr:cNvGraphicFramePr/>
      </xdr:nvGraphicFramePr>
      <xdr:xfrm>
        <a:off x="198360" y="6334200"/>
        <a:ext cx="3283920" cy="2818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CustomerDataTable" displayName="CustomerDataTable" ref="A1:N151" headerRowCount="1" totalsRowCount="0" totalsRowShown="0">
  <autoFilter ref="A1:N151"/>
  <tableColumns count="14">
    <tableColumn id="1" name="Customer ID"/>
    <tableColumn id="2" name="Gender"/>
    <tableColumn id="3" name="Age"/>
    <tableColumn id="4" name="Age Group"/>
    <tableColumn id="5" name="Region"/>
    <tableColumn id="6" name="Plan"/>
    <tableColumn id="7" name="Contract Type"/>
    <tableColumn id="8" name="Tenure (Months)"/>
    <tableColumn id="9" name="Monthly Charges (₦)"/>
    <tableColumn id="10" name="Total Charges (₦)"/>
    <tableColumn id="11" name="Payment Method"/>
    <tableColumn id="12" name="Support Interactions"/>
    <tableColumn id="13" name="Churned"/>
    <tableColumn id="14" name="Signup Dat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4572E"/>
    <pageSetUpPr fitToPage="true"/>
  </sheetPr>
  <dimension ref="A1:AB5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9" min="2" style="0" width="6"/>
    <col collapsed="false" customWidth="true" hidden="false" outlineLevel="0" max="10" min="10" style="0" width="1.39"/>
    <col collapsed="false" customWidth="true" hidden="false" outlineLevel="0" max="18" min="11" style="0" width="6"/>
    <col collapsed="false" customWidth="true" hidden="false" outlineLevel="0" max="19" min="19" style="0" width="1.39"/>
    <col collapsed="false" customWidth="true" hidden="false" outlineLevel="0" max="27" min="20" style="0" width="6"/>
    <col collapsed="false" customWidth="true" hidden="false" outlineLevel="0" max="28" min="28" style="0" width="2"/>
  </cols>
  <sheetData>
    <row r="1" customFormat="false" ht="7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customFormat="false" ht="31.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 t="s">
        <v>1</v>
      </c>
      <c r="U2" s="3"/>
      <c r="V2" s="3"/>
      <c r="W2" s="3"/>
      <c r="X2" s="3"/>
      <c r="Y2" s="3"/>
      <c r="Z2" s="3"/>
      <c r="AA2" s="3"/>
      <c r="AB2" s="1"/>
    </row>
    <row r="3" customFormat="false" ht="18" hidden="false" customHeight="true" outlineLevel="0" collapsed="false">
      <c r="A3" s="1"/>
      <c r="B3" s="4" t="s">
        <v>2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5" t="str">
        <f aca="false">"Subscription business  ·  "&amp;k_Total&amp;" customers  ·  5 regions  ·  3 plans"</f>
        <v>Subscription business  ·  150 customers  ·  5 regions  ·  3 plans</v>
      </c>
      <c r="U3" s="5"/>
      <c r="V3" s="5"/>
      <c r="W3" s="5"/>
      <c r="X3" s="5"/>
      <c r="Y3" s="5"/>
      <c r="Z3" s="5"/>
      <c r="AA3" s="5"/>
      <c r="AB3" s="1"/>
    </row>
    <row r="4" customFormat="false" ht="3.75" hidden="false" customHeight="true" outlineLevel="0" collapsed="false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 customFormat="false" ht="9.75" hidden="false" customHeight="true" outlineLevel="0" collapsed="false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 customFormat="false" ht="24" hidden="false" customHeight="true" outlineLevel="0" collapsed="false">
      <c r="A6" s="7"/>
      <c r="B6" s="8" t="s">
        <v>3</v>
      </c>
      <c r="C6" s="8"/>
      <c r="D6" s="9" t="s">
        <v>4</v>
      </c>
      <c r="E6" s="9"/>
      <c r="F6" s="9"/>
      <c r="G6" s="10" t="s">
        <v>5</v>
      </c>
      <c r="H6" s="10"/>
      <c r="I6" s="10"/>
      <c r="J6" s="11"/>
      <c r="K6" s="12" t="s">
        <v>6</v>
      </c>
      <c r="L6" s="12"/>
      <c r="M6" s="9" t="s">
        <v>4</v>
      </c>
      <c r="N6" s="9"/>
      <c r="O6" s="9"/>
      <c r="P6" s="10" t="s">
        <v>7</v>
      </c>
      <c r="Q6" s="10"/>
      <c r="R6" s="10"/>
      <c r="S6" s="11"/>
      <c r="T6" s="12" t="s">
        <v>8</v>
      </c>
      <c r="U6" s="12"/>
      <c r="V6" s="9" t="s">
        <v>4</v>
      </c>
      <c r="W6" s="9"/>
      <c r="X6" s="9"/>
      <c r="Y6" s="13" t="s">
        <v>9</v>
      </c>
      <c r="Z6" s="13"/>
      <c r="AA6" s="13"/>
      <c r="AB6" s="7"/>
    </row>
    <row r="7" customFormat="false" ht="9.75" hidden="false" customHeight="true" outlineLevel="0" collapsed="false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customFormat="false" ht="15.75" hidden="false" customHeight="true" outlineLevel="0" collapsed="false">
      <c r="A8" s="7"/>
      <c r="B8" s="14" t="s">
        <v>10</v>
      </c>
      <c r="C8" s="14"/>
      <c r="D8" s="14"/>
      <c r="E8" s="14"/>
      <c r="F8" s="15" t="s">
        <v>11</v>
      </c>
      <c r="G8" s="15"/>
      <c r="H8" s="15"/>
      <c r="I8" s="15"/>
      <c r="J8" s="15"/>
      <c r="K8" s="15" t="s">
        <v>12</v>
      </c>
      <c r="L8" s="15"/>
      <c r="M8" s="15"/>
      <c r="N8" s="15"/>
      <c r="O8" s="16" t="s">
        <v>13</v>
      </c>
      <c r="P8" s="16"/>
      <c r="Q8" s="16"/>
      <c r="R8" s="16"/>
      <c r="S8" s="16"/>
      <c r="T8" s="16" t="s">
        <v>14</v>
      </c>
      <c r="U8" s="16"/>
      <c r="V8" s="16"/>
      <c r="W8" s="16"/>
      <c r="X8" s="17" t="s">
        <v>15</v>
      </c>
      <c r="Y8" s="17"/>
      <c r="Z8" s="17"/>
      <c r="AA8" s="17"/>
      <c r="AB8" s="7"/>
    </row>
    <row r="9" customFormat="false" ht="36" hidden="false" customHeight="true" outlineLevel="0" collapsed="false">
      <c r="A9" s="7"/>
      <c r="B9" s="18" t="n">
        <f aca="false">k_N</f>
        <v>150</v>
      </c>
      <c r="C9" s="18"/>
      <c r="D9" s="18"/>
      <c r="E9" s="18"/>
      <c r="F9" s="18" t="n">
        <f aca="false">k_Churned</f>
        <v>43</v>
      </c>
      <c r="G9" s="18"/>
      <c r="H9" s="18"/>
      <c r="I9" s="18"/>
      <c r="J9" s="18"/>
      <c r="K9" s="19" t="n">
        <f aca="false">k_Rate</f>
        <v>0.286666666666667</v>
      </c>
      <c r="L9" s="19"/>
      <c r="M9" s="19"/>
      <c r="N9" s="19"/>
      <c r="O9" s="20" t="n">
        <f aca="false">k_Rev</f>
        <v>9919700</v>
      </c>
      <c r="P9" s="20"/>
      <c r="Q9" s="20"/>
      <c r="R9" s="20"/>
      <c r="S9" s="20"/>
      <c r="T9" s="20" t="n">
        <f aca="false">k_MRR</f>
        <v>509600</v>
      </c>
      <c r="U9" s="20"/>
      <c r="V9" s="20"/>
      <c r="W9" s="20"/>
      <c r="X9" s="21" t="str">
        <f aca="false">top_Label</f>
        <v>Basic · Monthly</v>
      </c>
      <c r="Y9" s="21"/>
      <c r="Z9" s="21"/>
      <c r="AA9" s="21"/>
      <c r="AB9" s="7"/>
    </row>
    <row r="10" customFormat="false" ht="15.75" hidden="false" customHeight="true" outlineLevel="0" collapsed="false">
      <c r="A10" s="7"/>
      <c r="B10" s="22" t="str">
        <f aca="false">IF(k_Filtered=0,"Full dataset","Filtered view of "&amp;k_Total&amp;" in dataset")</f>
        <v>Full dataset</v>
      </c>
      <c r="C10" s="22"/>
      <c r="D10" s="22"/>
      <c r="E10" s="22"/>
      <c r="F10" s="22" t="str">
        <f aca="false">"Retained: "&amp;TEXT(k_Retained,"#,##0")</f>
        <v>Retained: 107</v>
      </c>
      <c r="G10" s="22"/>
      <c r="H10" s="22"/>
      <c r="I10" s="22"/>
      <c r="J10" s="22"/>
      <c r="K10" s="22" t="str">
        <f aca="false">IF(k_N=0,"No customers match",IF(k_N&lt;30,"Small sample (n = "&amp;k_N&amp;"): read with care","±"&amp;TEXT(k_MOE,"0.0")&amp;" pp margin of error (95%)"))</f>
        <v>±7.2 pp margin of error (95%)</v>
      </c>
      <c r="L10" s="22"/>
      <c r="M10" s="22"/>
      <c r="N10" s="22"/>
      <c r="O10" s="22" t="s">
        <v>16</v>
      </c>
      <c r="P10" s="22"/>
      <c r="Q10" s="22"/>
      <c r="R10" s="22"/>
      <c r="S10" s="22"/>
      <c r="T10" s="22" t="str">
        <f aca="false">IF(k_MRRall=0,"",TEXT(k_MRR/k_MRRall,"0.0%")&amp;" of monthly billings")</f>
        <v>25.9% of monthly billings</v>
      </c>
      <c r="U10" s="22"/>
      <c r="V10" s="22"/>
      <c r="W10" s="22"/>
      <c r="X10" s="23" t="str">
        <f aca="false">IF(top_Label="n/a","Segments need "&amp;t_MinN&amp;"+ customers",TEXT(top_Rate,"0.0%")&amp;" churn  ·  n = "&amp;top_N)</f>
        <v>42.9% churn  ·  n = 35</v>
      </c>
      <c r="Y10" s="23"/>
      <c r="Z10" s="23"/>
      <c r="AA10" s="23"/>
      <c r="AB10" s="7"/>
    </row>
    <row r="11" customFormat="false" ht="9.75" hidden="false" customHeight="true" outlineLevel="0" collapsed="false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customFormat="false" ht="21.75" hidden="false" customHeight="true" outlineLevel="0" collapsed="false">
      <c r="A12" s="7"/>
      <c r="B12" s="24" t="s">
        <v>17</v>
      </c>
      <c r="C12" s="24"/>
      <c r="D12" s="24"/>
      <c r="E12" s="24"/>
      <c r="F12" s="24"/>
      <c r="G12" s="24"/>
      <c r="H12" s="24"/>
      <c r="I12" s="24"/>
      <c r="J12" s="7"/>
      <c r="K12" s="24" t="s">
        <v>18</v>
      </c>
      <c r="L12" s="24"/>
      <c r="M12" s="24"/>
      <c r="N12" s="24"/>
      <c r="O12" s="24"/>
      <c r="P12" s="24"/>
      <c r="Q12" s="24"/>
      <c r="R12" s="24"/>
      <c r="S12" s="7"/>
      <c r="T12" s="24" t="s">
        <v>19</v>
      </c>
      <c r="U12" s="24"/>
      <c r="V12" s="24"/>
      <c r="W12" s="24"/>
      <c r="X12" s="24"/>
      <c r="Y12" s="24"/>
      <c r="Z12" s="24"/>
      <c r="AA12" s="24"/>
      <c r="AB12" s="7"/>
    </row>
    <row r="13" customFormat="false" ht="15.75" hidden="false" customHeight="true" outlineLevel="0" collapsed="false">
      <c r="A13" s="7"/>
      <c r="B13" s="25" t="s">
        <v>20</v>
      </c>
      <c r="C13" s="25"/>
      <c r="D13" s="25"/>
      <c r="E13" s="25"/>
      <c r="F13" s="25"/>
      <c r="G13" s="25"/>
      <c r="H13" s="25"/>
      <c r="I13" s="25"/>
      <c r="J13" s="7"/>
      <c r="K13" s="25" t="s">
        <v>21</v>
      </c>
      <c r="L13" s="25"/>
      <c r="M13" s="25"/>
      <c r="N13" s="25"/>
      <c r="O13" s="25"/>
      <c r="P13" s="25"/>
      <c r="Q13" s="25"/>
      <c r="R13" s="25"/>
      <c r="S13" s="7"/>
      <c r="T13" s="25" t="s">
        <v>22</v>
      </c>
      <c r="U13" s="25"/>
      <c r="V13" s="25"/>
      <c r="W13" s="25"/>
      <c r="X13" s="25"/>
      <c r="Y13" s="25"/>
      <c r="Z13" s="25"/>
      <c r="AA13" s="25"/>
      <c r="AB13" s="7"/>
    </row>
    <row r="14" customFormat="false" ht="15" hidden="false" customHeight="true" outlineLevel="0" collapsed="false">
      <c r="A14" s="7"/>
      <c r="B14" s="26"/>
      <c r="C14" s="27"/>
      <c r="D14" s="27"/>
      <c r="E14" s="27"/>
      <c r="F14" s="27"/>
      <c r="G14" s="27"/>
      <c r="H14" s="27"/>
      <c r="I14" s="28"/>
      <c r="J14" s="7"/>
      <c r="K14" s="26"/>
      <c r="L14" s="27"/>
      <c r="M14" s="27"/>
      <c r="N14" s="27"/>
      <c r="O14" s="27"/>
      <c r="P14" s="27"/>
      <c r="Q14" s="27"/>
      <c r="R14" s="28"/>
      <c r="S14" s="7"/>
      <c r="T14" s="26"/>
      <c r="U14" s="27"/>
      <c r="V14" s="27"/>
      <c r="W14" s="27"/>
      <c r="X14" s="27"/>
      <c r="Y14" s="27"/>
      <c r="Z14" s="27"/>
      <c r="AA14" s="28"/>
      <c r="AB14" s="7"/>
    </row>
    <row r="15" customFormat="false" ht="15" hidden="false" customHeight="true" outlineLevel="0" collapsed="false">
      <c r="A15" s="7"/>
      <c r="B15" s="26"/>
      <c r="C15" s="27"/>
      <c r="D15" s="27"/>
      <c r="E15" s="27"/>
      <c r="F15" s="27"/>
      <c r="G15" s="27"/>
      <c r="H15" s="27"/>
      <c r="I15" s="28"/>
      <c r="J15" s="7"/>
      <c r="K15" s="26"/>
      <c r="L15" s="27"/>
      <c r="M15" s="27"/>
      <c r="N15" s="27"/>
      <c r="O15" s="27"/>
      <c r="P15" s="27"/>
      <c r="Q15" s="27"/>
      <c r="R15" s="28"/>
      <c r="S15" s="7"/>
      <c r="T15" s="26"/>
      <c r="U15" s="27"/>
      <c r="V15" s="27"/>
      <c r="W15" s="27"/>
      <c r="X15" s="27"/>
      <c r="Y15" s="27"/>
      <c r="Z15" s="27"/>
      <c r="AA15" s="28"/>
      <c r="AB15" s="7"/>
    </row>
    <row r="16" customFormat="false" ht="15" hidden="false" customHeight="true" outlineLevel="0" collapsed="false">
      <c r="A16" s="7"/>
      <c r="B16" s="26"/>
      <c r="C16" s="27"/>
      <c r="D16" s="27"/>
      <c r="E16" s="27"/>
      <c r="F16" s="27"/>
      <c r="G16" s="27"/>
      <c r="H16" s="27"/>
      <c r="I16" s="28"/>
      <c r="J16" s="7"/>
      <c r="K16" s="26"/>
      <c r="L16" s="27"/>
      <c r="M16" s="27"/>
      <c r="N16" s="27"/>
      <c r="O16" s="27"/>
      <c r="P16" s="27"/>
      <c r="Q16" s="27"/>
      <c r="R16" s="28"/>
      <c r="S16" s="7"/>
      <c r="T16" s="26"/>
      <c r="U16" s="27"/>
      <c r="V16" s="27"/>
      <c r="W16" s="27"/>
      <c r="X16" s="27"/>
      <c r="Y16" s="27"/>
      <c r="Z16" s="27"/>
      <c r="AA16" s="28"/>
      <c r="AB16" s="7"/>
    </row>
    <row r="17" customFormat="false" ht="15" hidden="false" customHeight="true" outlineLevel="0" collapsed="false">
      <c r="A17" s="7"/>
      <c r="B17" s="26"/>
      <c r="C17" s="27"/>
      <c r="D17" s="27"/>
      <c r="E17" s="27"/>
      <c r="F17" s="27"/>
      <c r="G17" s="27"/>
      <c r="H17" s="27"/>
      <c r="I17" s="28"/>
      <c r="J17" s="7"/>
      <c r="K17" s="26"/>
      <c r="L17" s="27"/>
      <c r="M17" s="27"/>
      <c r="N17" s="27"/>
      <c r="O17" s="27"/>
      <c r="P17" s="27"/>
      <c r="Q17" s="27"/>
      <c r="R17" s="28"/>
      <c r="S17" s="7"/>
      <c r="T17" s="26"/>
      <c r="U17" s="27"/>
      <c r="V17" s="27"/>
      <c r="W17" s="27"/>
      <c r="X17" s="27"/>
      <c r="Y17" s="27"/>
      <c r="Z17" s="27"/>
      <c r="AA17" s="28"/>
      <c r="AB17" s="7"/>
    </row>
    <row r="18" customFormat="false" ht="15" hidden="false" customHeight="true" outlineLevel="0" collapsed="false">
      <c r="A18" s="7"/>
      <c r="B18" s="26"/>
      <c r="C18" s="27"/>
      <c r="D18" s="27"/>
      <c r="E18" s="27"/>
      <c r="F18" s="27"/>
      <c r="G18" s="27"/>
      <c r="H18" s="27"/>
      <c r="I18" s="28"/>
      <c r="J18" s="7"/>
      <c r="K18" s="26"/>
      <c r="L18" s="27"/>
      <c r="M18" s="27"/>
      <c r="N18" s="27"/>
      <c r="O18" s="27"/>
      <c r="P18" s="27"/>
      <c r="Q18" s="27"/>
      <c r="R18" s="28"/>
      <c r="S18" s="7"/>
      <c r="T18" s="26"/>
      <c r="U18" s="27"/>
      <c r="V18" s="27"/>
      <c r="W18" s="27"/>
      <c r="X18" s="27"/>
      <c r="Y18" s="27"/>
      <c r="Z18" s="27"/>
      <c r="AA18" s="28"/>
      <c r="AB18" s="7"/>
    </row>
    <row r="19" customFormat="false" ht="15" hidden="false" customHeight="true" outlineLevel="0" collapsed="false">
      <c r="A19" s="7"/>
      <c r="B19" s="26"/>
      <c r="C19" s="27"/>
      <c r="D19" s="27"/>
      <c r="E19" s="27"/>
      <c r="F19" s="27"/>
      <c r="G19" s="27"/>
      <c r="H19" s="27"/>
      <c r="I19" s="28"/>
      <c r="J19" s="7"/>
      <c r="K19" s="26"/>
      <c r="L19" s="27"/>
      <c r="M19" s="27"/>
      <c r="N19" s="27"/>
      <c r="O19" s="27"/>
      <c r="P19" s="27"/>
      <c r="Q19" s="27"/>
      <c r="R19" s="28"/>
      <c r="S19" s="7"/>
      <c r="T19" s="26"/>
      <c r="U19" s="27"/>
      <c r="V19" s="27"/>
      <c r="W19" s="27"/>
      <c r="X19" s="27"/>
      <c r="Y19" s="27"/>
      <c r="Z19" s="27"/>
      <c r="AA19" s="28"/>
      <c r="AB19" s="7"/>
    </row>
    <row r="20" customFormat="false" ht="15" hidden="false" customHeight="true" outlineLevel="0" collapsed="false">
      <c r="A20" s="7"/>
      <c r="B20" s="26"/>
      <c r="C20" s="27"/>
      <c r="D20" s="27"/>
      <c r="E20" s="27"/>
      <c r="F20" s="27"/>
      <c r="G20" s="27"/>
      <c r="H20" s="27"/>
      <c r="I20" s="28"/>
      <c r="J20" s="7"/>
      <c r="K20" s="26"/>
      <c r="L20" s="27"/>
      <c r="M20" s="27"/>
      <c r="N20" s="27"/>
      <c r="O20" s="27"/>
      <c r="P20" s="27"/>
      <c r="Q20" s="27"/>
      <c r="R20" s="28"/>
      <c r="S20" s="7"/>
      <c r="T20" s="26"/>
      <c r="U20" s="27"/>
      <c r="V20" s="27"/>
      <c r="W20" s="27"/>
      <c r="X20" s="27"/>
      <c r="Y20" s="27"/>
      <c r="Z20" s="27"/>
      <c r="AA20" s="28"/>
      <c r="AB20" s="7"/>
    </row>
    <row r="21" customFormat="false" ht="15" hidden="false" customHeight="true" outlineLevel="0" collapsed="false">
      <c r="A21" s="7"/>
      <c r="B21" s="26"/>
      <c r="C21" s="27"/>
      <c r="D21" s="27"/>
      <c r="E21" s="27"/>
      <c r="F21" s="27"/>
      <c r="G21" s="27"/>
      <c r="H21" s="27"/>
      <c r="I21" s="28"/>
      <c r="J21" s="7"/>
      <c r="K21" s="26"/>
      <c r="L21" s="27"/>
      <c r="M21" s="27"/>
      <c r="N21" s="27"/>
      <c r="O21" s="27"/>
      <c r="P21" s="27"/>
      <c r="Q21" s="27"/>
      <c r="R21" s="28"/>
      <c r="S21" s="7"/>
      <c r="T21" s="26"/>
      <c r="U21" s="27"/>
      <c r="V21" s="27"/>
      <c r="W21" s="27"/>
      <c r="X21" s="27"/>
      <c r="Y21" s="27"/>
      <c r="Z21" s="27"/>
      <c r="AA21" s="28"/>
      <c r="AB21" s="7"/>
    </row>
    <row r="22" customFormat="false" ht="15" hidden="false" customHeight="true" outlineLevel="0" collapsed="false">
      <c r="A22" s="7"/>
      <c r="B22" s="26"/>
      <c r="C22" s="27"/>
      <c r="D22" s="27"/>
      <c r="E22" s="27"/>
      <c r="F22" s="27"/>
      <c r="G22" s="27"/>
      <c r="H22" s="27"/>
      <c r="I22" s="28"/>
      <c r="J22" s="7"/>
      <c r="K22" s="26"/>
      <c r="L22" s="27"/>
      <c r="M22" s="27"/>
      <c r="N22" s="27"/>
      <c r="O22" s="27"/>
      <c r="P22" s="27"/>
      <c r="Q22" s="27"/>
      <c r="R22" s="28"/>
      <c r="S22" s="7"/>
      <c r="T22" s="26"/>
      <c r="U22" s="27"/>
      <c r="V22" s="27"/>
      <c r="W22" s="27"/>
      <c r="X22" s="27"/>
      <c r="Y22" s="27"/>
      <c r="Z22" s="27"/>
      <c r="AA22" s="28"/>
      <c r="AB22" s="7"/>
    </row>
    <row r="23" customFormat="false" ht="15" hidden="false" customHeight="true" outlineLevel="0" collapsed="false">
      <c r="A23" s="7"/>
      <c r="B23" s="26"/>
      <c r="C23" s="27"/>
      <c r="D23" s="27"/>
      <c r="E23" s="27"/>
      <c r="F23" s="27"/>
      <c r="G23" s="27"/>
      <c r="H23" s="27"/>
      <c r="I23" s="28"/>
      <c r="J23" s="7"/>
      <c r="K23" s="26"/>
      <c r="L23" s="27"/>
      <c r="M23" s="27"/>
      <c r="N23" s="27"/>
      <c r="O23" s="27"/>
      <c r="P23" s="27"/>
      <c r="Q23" s="27"/>
      <c r="R23" s="28"/>
      <c r="S23" s="7"/>
      <c r="T23" s="26"/>
      <c r="U23" s="27"/>
      <c r="V23" s="27"/>
      <c r="W23" s="27"/>
      <c r="X23" s="27"/>
      <c r="Y23" s="27"/>
      <c r="Z23" s="27"/>
      <c r="AA23" s="28"/>
      <c r="AB23" s="7"/>
    </row>
    <row r="24" customFormat="false" ht="15" hidden="false" customHeight="true" outlineLevel="0" collapsed="false">
      <c r="A24" s="7"/>
      <c r="B24" s="26"/>
      <c r="C24" s="27"/>
      <c r="D24" s="27"/>
      <c r="E24" s="27"/>
      <c r="F24" s="27"/>
      <c r="G24" s="27"/>
      <c r="H24" s="27"/>
      <c r="I24" s="28"/>
      <c r="J24" s="7"/>
      <c r="K24" s="26"/>
      <c r="L24" s="27"/>
      <c r="M24" s="27"/>
      <c r="N24" s="27"/>
      <c r="O24" s="27"/>
      <c r="P24" s="27"/>
      <c r="Q24" s="27"/>
      <c r="R24" s="28"/>
      <c r="S24" s="7"/>
      <c r="T24" s="26"/>
      <c r="U24" s="27"/>
      <c r="V24" s="27"/>
      <c r="W24" s="27"/>
      <c r="X24" s="27"/>
      <c r="Y24" s="27"/>
      <c r="Z24" s="27"/>
      <c r="AA24" s="28"/>
      <c r="AB24" s="7"/>
    </row>
    <row r="25" customFormat="false" ht="15" hidden="false" customHeight="true" outlineLevel="0" collapsed="false">
      <c r="A25" s="7"/>
      <c r="B25" s="26"/>
      <c r="C25" s="27"/>
      <c r="D25" s="27"/>
      <c r="E25" s="27"/>
      <c r="F25" s="27"/>
      <c r="G25" s="27"/>
      <c r="H25" s="27"/>
      <c r="I25" s="28"/>
      <c r="J25" s="7"/>
      <c r="K25" s="26"/>
      <c r="L25" s="27"/>
      <c r="M25" s="27"/>
      <c r="N25" s="27"/>
      <c r="O25" s="27"/>
      <c r="P25" s="27"/>
      <c r="Q25" s="27"/>
      <c r="R25" s="28"/>
      <c r="S25" s="7"/>
      <c r="T25" s="26"/>
      <c r="U25" s="27"/>
      <c r="V25" s="27"/>
      <c r="W25" s="27"/>
      <c r="X25" s="27"/>
      <c r="Y25" s="27"/>
      <c r="Z25" s="27"/>
      <c r="AA25" s="28"/>
      <c r="AB25" s="7"/>
    </row>
    <row r="26" customFormat="false" ht="15" hidden="false" customHeight="true" outlineLevel="0" collapsed="false">
      <c r="A26" s="7"/>
      <c r="B26" s="26"/>
      <c r="C26" s="27"/>
      <c r="D26" s="27"/>
      <c r="E26" s="27"/>
      <c r="F26" s="27"/>
      <c r="G26" s="27"/>
      <c r="H26" s="27"/>
      <c r="I26" s="28"/>
      <c r="J26" s="7"/>
      <c r="K26" s="26"/>
      <c r="L26" s="27"/>
      <c r="M26" s="27"/>
      <c r="N26" s="27"/>
      <c r="O26" s="27"/>
      <c r="P26" s="27"/>
      <c r="Q26" s="27"/>
      <c r="R26" s="28"/>
      <c r="S26" s="7"/>
      <c r="T26" s="26"/>
      <c r="U26" s="27"/>
      <c r="V26" s="27"/>
      <c r="W26" s="27"/>
      <c r="X26" s="27"/>
      <c r="Y26" s="27"/>
      <c r="Z26" s="27"/>
      <c r="AA26" s="28"/>
      <c r="AB26" s="7"/>
    </row>
    <row r="27" customFormat="false" ht="15" hidden="false" customHeight="true" outlineLevel="0" collapsed="false">
      <c r="A27" s="7"/>
      <c r="B27" s="26"/>
      <c r="C27" s="27"/>
      <c r="D27" s="27"/>
      <c r="E27" s="27"/>
      <c r="F27" s="27"/>
      <c r="G27" s="27"/>
      <c r="H27" s="27"/>
      <c r="I27" s="28"/>
      <c r="J27" s="7"/>
      <c r="K27" s="26"/>
      <c r="L27" s="27"/>
      <c r="M27" s="27"/>
      <c r="N27" s="27"/>
      <c r="O27" s="27"/>
      <c r="P27" s="27"/>
      <c r="Q27" s="27"/>
      <c r="R27" s="28"/>
      <c r="S27" s="7"/>
      <c r="T27" s="26"/>
      <c r="U27" s="27"/>
      <c r="V27" s="27"/>
      <c r="W27" s="27"/>
      <c r="X27" s="27"/>
      <c r="Y27" s="27"/>
      <c r="Z27" s="27"/>
      <c r="AA27" s="28"/>
      <c r="AB27" s="7"/>
    </row>
    <row r="28" customFormat="false" ht="15" hidden="false" customHeight="true" outlineLevel="0" collapsed="false">
      <c r="A28" s="7"/>
      <c r="B28" s="26"/>
      <c r="C28" s="27"/>
      <c r="D28" s="27"/>
      <c r="E28" s="27"/>
      <c r="F28" s="27"/>
      <c r="G28" s="27"/>
      <c r="H28" s="27"/>
      <c r="I28" s="28"/>
      <c r="J28" s="7"/>
      <c r="K28" s="26"/>
      <c r="L28" s="27"/>
      <c r="M28" s="27"/>
      <c r="N28" s="27"/>
      <c r="O28" s="27"/>
      <c r="P28" s="27"/>
      <c r="Q28" s="27"/>
      <c r="R28" s="28"/>
      <c r="S28" s="7"/>
      <c r="T28" s="26"/>
      <c r="U28" s="27"/>
      <c r="V28" s="27"/>
      <c r="W28" s="27"/>
      <c r="X28" s="27"/>
      <c r="Y28" s="27"/>
      <c r="Z28" s="27"/>
      <c r="AA28" s="28"/>
      <c r="AB28" s="7"/>
    </row>
    <row r="29" customFormat="false" ht="6" hidden="false" customHeight="true" outlineLevel="0" collapsed="false">
      <c r="A29" s="7"/>
      <c r="B29" s="29"/>
      <c r="C29" s="30"/>
      <c r="D29" s="30"/>
      <c r="E29" s="30"/>
      <c r="F29" s="30"/>
      <c r="G29" s="30"/>
      <c r="H29" s="30"/>
      <c r="I29" s="31"/>
      <c r="J29" s="7"/>
      <c r="K29" s="29"/>
      <c r="L29" s="30"/>
      <c r="M29" s="30"/>
      <c r="N29" s="30"/>
      <c r="O29" s="30"/>
      <c r="P29" s="30"/>
      <c r="Q29" s="30"/>
      <c r="R29" s="31"/>
      <c r="S29" s="7"/>
      <c r="T29" s="29"/>
      <c r="U29" s="30"/>
      <c r="V29" s="30"/>
      <c r="W29" s="30"/>
      <c r="X29" s="30"/>
      <c r="Y29" s="30"/>
      <c r="Z29" s="30"/>
      <c r="AA29" s="31"/>
      <c r="AB29" s="7"/>
    </row>
    <row r="30" customFormat="false" ht="9.75" hidden="false" customHeight="true" outlineLevel="0" collapsed="false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customFormat="false" ht="21.75" hidden="false" customHeight="true" outlineLevel="0" collapsed="false">
      <c r="A31" s="7"/>
      <c r="B31" s="24" t="s">
        <v>23</v>
      </c>
      <c r="C31" s="24"/>
      <c r="D31" s="24"/>
      <c r="E31" s="24"/>
      <c r="F31" s="24"/>
      <c r="G31" s="24"/>
      <c r="H31" s="24"/>
      <c r="I31" s="24"/>
      <c r="J31" s="7"/>
      <c r="K31" s="24" t="s">
        <v>24</v>
      </c>
      <c r="L31" s="24"/>
      <c r="M31" s="24"/>
      <c r="N31" s="24"/>
      <c r="O31" s="24"/>
      <c r="P31" s="24"/>
      <c r="Q31" s="24"/>
      <c r="R31" s="24"/>
      <c r="S31" s="7"/>
      <c r="T31" s="24" t="s">
        <v>25</v>
      </c>
      <c r="U31" s="24"/>
      <c r="V31" s="24"/>
      <c r="W31" s="24"/>
      <c r="X31" s="24"/>
      <c r="Y31" s="24"/>
      <c r="Z31" s="24"/>
      <c r="AA31" s="24"/>
      <c r="AB31" s="7"/>
    </row>
    <row r="32" customFormat="false" ht="15.75" hidden="false" customHeight="true" outlineLevel="0" collapsed="false">
      <c r="A32" s="7"/>
      <c r="B32" s="25" t="s">
        <v>26</v>
      </c>
      <c r="C32" s="25"/>
      <c r="D32" s="25"/>
      <c r="E32" s="25"/>
      <c r="F32" s="25"/>
      <c r="G32" s="25"/>
      <c r="H32" s="25"/>
      <c r="I32" s="25"/>
      <c r="J32" s="7"/>
      <c r="K32" s="25" t="s">
        <v>27</v>
      </c>
      <c r="L32" s="25"/>
      <c r="M32" s="25"/>
      <c r="N32" s="25"/>
      <c r="O32" s="25"/>
      <c r="P32" s="25"/>
      <c r="Q32" s="25"/>
      <c r="R32" s="25"/>
      <c r="S32" s="7"/>
      <c r="T32" s="25" t="s">
        <v>28</v>
      </c>
      <c r="U32" s="25"/>
      <c r="V32" s="25"/>
      <c r="W32" s="25"/>
      <c r="X32" s="25"/>
      <c r="Y32" s="25"/>
      <c r="Z32" s="25"/>
      <c r="AA32" s="25"/>
      <c r="AB32" s="7"/>
    </row>
    <row r="33" customFormat="false" ht="15" hidden="false" customHeight="true" outlineLevel="0" collapsed="false">
      <c r="A33" s="7"/>
      <c r="B33" s="26"/>
      <c r="C33" s="27"/>
      <c r="D33" s="27"/>
      <c r="E33" s="27"/>
      <c r="F33" s="27"/>
      <c r="G33" s="27"/>
      <c r="H33" s="27"/>
      <c r="I33" s="28"/>
      <c r="J33" s="7"/>
      <c r="K33" s="32" t="s">
        <v>29</v>
      </c>
      <c r="L33" s="32"/>
      <c r="M33" s="33" t="s">
        <v>30</v>
      </c>
      <c r="N33" s="33"/>
      <c r="O33" s="33" t="s">
        <v>31</v>
      </c>
      <c r="P33" s="33"/>
      <c r="Q33" s="34" t="s">
        <v>32</v>
      </c>
      <c r="R33" s="34"/>
      <c r="S33" s="7"/>
      <c r="T33" s="35" t="n">
        <v>1</v>
      </c>
      <c r="U33" s="36" t="str">
        <f aca="false">"Contract is the biggest lever: monthly customers churn at "&amp;TEXT(Analysis!$E$24,"0%")&amp;" vs "&amp;TEXT(Analysis!$E$26,"0%")&amp;" on annual ("&amp;IFERROR(TEXT(Analysis!$E$24/Analysis!$E$26,"0.0")&amp;"x higher","n/a")&amp;")."</f>
        <v>Contract is the biggest lever: monthly customers churn at 35% vs 15% on annual (2.4x higher).</v>
      </c>
      <c r="V33" s="36"/>
      <c r="W33" s="36"/>
      <c r="X33" s="36"/>
      <c r="Y33" s="36"/>
      <c r="Z33" s="36"/>
      <c r="AA33" s="28"/>
      <c r="AB33" s="7"/>
    </row>
    <row r="34" customFormat="false" ht="15" hidden="false" customHeight="true" outlineLevel="0" collapsed="false">
      <c r="A34" s="7"/>
      <c r="B34" s="26"/>
      <c r="C34" s="27"/>
      <c r="D34" s="27"/>
      <c r="E34" s="27"/>
      <c r="F34" s="27"/>
      <c r="G34" s="27"/>
      <c r="H34" s="27"/>
      <c r="I34" s="28"/>
      <c r="J34" s="7"/>
      <c r="K34" s="37" t="s">
        <v>33</v>
      </c>
      <c r="L34" s="37"/>
      <c r="M34" s="38" t="n">
        <f aca="false">IF('Chart Data'!C51=0,"–",'Chart Data'!E51)</f>
        <v>0.428571428571429</v>
      </c>
      <c r="N34" s="38"/>
      <c r="O34" s="38" t="n">
        <f aca="false">IF('Chart Data'!C52=0,"–",'Chart Data'!E52)</f>
        <v>0.307692307692308</v>
      </c>
      <c r="P34" s="38"/>
      <c r="Q34" s="38" t="n">
        <f aca="false">IF('Chart Data'!C53=0,"–",'Chart Data'!E53)</f>
        <v>0.214285714285714</v>
      </c>
      <c r="R34" s="38"/>
      <c r="S34" s="7"/>
      <c r="T34" s="35"/>
      <c r="U34" s="36"/>
      <c r="V34" s="36"/>
      <c r="W34" s="36"/>
      <c r="X34" s="36"/>
      <c r="Y34" s="36"/>
      <c r="Z34" s="36"/>
      <c r="AA34" s="28"/>
      <c r="AB34" s="7"/>
    </row>
    <row r="35" customFormat="false" ht="15" hidden="false" customHeight="true" outlineLevel="0" collapsed="false">
      <c r="A35" s="7"/>
      <c r="B35" s="26"/>
      <c r="C35" s="27"/>
      <c r="D35" s="27"/>
      <c r="E35" s="27"/>
      <c r="F35" s="27"/>
      <c r="G35" s="27"/>
      <c r="H35" s="27"/>
      <c r="I35" s="28"/>
      <c r="J35" s="7"/>
      <c r="K35" s="37"/>
      <c r="L35" s="37"/>
      <c r="M35" s="38"/>
      <c r="N35" s="38"/>
      <c r="O35" s="38"/>
      <c r="P35" s="38"/>
      <c r="Q35" s="38"/>
      <c r="R35" s="38"/>
      <c r="S35" s="7"/>
      <c r="T35" s="35"/>
      <c r="U35" s="36"/>
      <c r="V35" s="36"/>
      <c r="W35" s="36"/>
      <c r="X35" s="36"/>
      <c r="Y35" s="36"/>
      <c r="Z35" s="36"/>
      <c r="AA35" s="39"/>
      <c r="AB35" s="7"/>
    </row>
    <row r="36" customFormat="false" ht="15" hidden="false" customHeight="true" outlineLevel="0" collapsed="false">
      <c r="A36" s="7"/>
      <c r="B36" s="26"/>
      <c r="C36" s="27"/>
      <c r="D36" s="27"/>
      <c r="E36" s="27"/>
      <c r="F36" s="27"/>
      <c r="G36" s="27"/>
      <c r="H36" s="27"/>
      <c r="I36" s="28"/>
      <c r="J36" s="7"/>
      <c r="K36" s="37"/>
      <c r="L36" s="37"/>
      <c r="M36" s="40" t="str">
        <f aca="false">"n = "&amp;'Chart Data'!C51</f>
        <v>n = 35</v>
      </c>
      <c r="N36" s="40"/>
      <c r="O36" s="40" t="str">
        <f aca="false">"n = "&amp;'Chart Data'!C52</f>
        <v>n = 26</v>
      </c>
      <c r="P36" s="40"/>
      <c r="Q36" s="40" t="str">
        <f aca="false">"n = "&amp;'Chart Data'!C53</f>
        <v>n = 14</v>
      </c>
      <c r="R36" s="40"/>
      <c r="S36" s="7"/>
      <c r="T36" s="35" t="n">
        <v>2</v>
      </c>
      <c r="U36" s="36" t="str">
        <f aca="false">"Hotspot: "&amp;Analysis!$L$17&amp;" churns at "&amp;TEXT(Analysis!$N$17,"0%")&amp;" (n = "&amp;Analysis!$O$17&amp;"). Target this segment first."</f>
        <v>Hotspot: Basic · Monthly churns at 43% (n = 35). Target this segment first.</v>
      </c>
      <c r="V36" s="36"/>
      <c r="W36" s="36"/>
      <c r="X36" s="36"/>
      <c r="Y36" s="36"/>
      <c r="Z36" s="36"/>
      <c r="AA36" s="28"/>
      <c r="AB36" s="7"/>
    </row>
    <row r="37" customFormat="false" ht="15" hidden="false" customHeight="true" outlineLevel="0" collapsed="false">
      <c r="A37" s="7"/>
      <c r="B37" s="26"/>
      <c r="C37" s="27"/>
      <c r="D37" s="27"/>
      <c r="E37" s="27"/>
      <c r="F37" s="27"/>
      <c r="G37" s="27"/>
      <c r="H37" s="27"/>
      <c r="I37" s="28"/>
      <c r="J37" s="7"/>
      <c r="K37" s="37" t="s">
        <v>34</v>
      </c>
      <c r="L37" s="37"/>
      <c r="M37" s="38" t="n">
        <f aca="false">IF('Chart Data'!C54=0,"–",'Chart Data'!E54)</f>
        <v>0.315789473684211</v>
      </c>
      <c r="N37" s="38"/>
      <c r="O37" s="38" t="n">
        <f aca="false">IF('Chart Data'!C55=0,"–",'Chart Data'!E55)</f>
        <v>0.266666666666667</v>
      </c>
      <c r="P37" s="38"/>
      <c r="Q37" s="38" t="n">
        <f aca="false">IF('Chart Data'!C56=0,"–",'Chart Data'!E56)</f>
        <v>0.285714285714286</v>
      </c>
      <c r="R37" s="38"/>
      <c r="S37" s="7"/>
      <c r="T37" s="35"/>
      <c r="U37" s="36"/>
      <c r="V37" s="36"/>
      <c r="W37" s="36"/>
      <c r="X37" s="36"/>
      <c r="Y37" s="36"/>
      <c r="Z37" s="36"/>
      <c r="AA37" s="28"/>
      <c r="AB37" s="7"/>
    </row>
    <row r="38" customFormat="false" ht="15" hidden="false" customHeight="true" outlineLevel="0" collapsed="false">
      <c r="A38" s="7"/>
      <c r="B38" s="26"/>
      <c r="C38" s="27"/>
      <c r="D38" s="27"/>
      <c r="E38" s="27"/>
      <c r="F38" s="27"/>
      <c r="G38" s="27"/>
      <c r="H38" s="27"/>
      <c r="I38" s="28"/>
      <c r="J38" s="7"/>
      <c r="K38" s="37"/>
      <c r="L38" s="37"/>
      <c r="M38" s="38"/>
      <c r="N38" s="38"/>
      <c r="O38" s="38"/>
      <c r="P38" s="38"/>
      <c r="Q38" s="38"/>
      <c r="R38" s="38"/>
      <c r="S38" s="7"/>
      <c r="T38" s="35"/>
      <c r="U38" s="36"/>
      <c r="V38" s="36"/>
      <c r="W38" s="36"/>
      <c r="X38" s="36"/>
      <c r="Y38" s="36"/>
      <c r="Z38" s="36"/>
      <c r="AA38" s="39"/>
      <c r="AB38" s="7"/>
    </row>
    <row r="39" customFormat="false" ht="15" hidden="false" customHeight="true" outlineLevel="0" collapsed="false">
      <c r="A39" s="7"/>
      <c r="B39" s="26"/>
      <c r="C39" s="27"/>
      <c r="D39" s="27"/>
      <c r="E39" s="27"/>
      <c r="F39" s="27"/>
      <c r="G39" s="27"/>
      <c r="H39" s="27"/>
      <c r="I39" s="28"/>
      <c r="J39" s="7"/>
      <c r="K39" s="37"/>
      <c r="L39" s="37"/>
      <c r="M39" s="40" t="str">
        <f aca="false">"n = "&amp;'Chart Data'!C54</f>
        <v>n = 19</v>
      </c>
      <c r="N39" s="40"/>
      <c r="O39" s="40" t="str">
        <f aca="false">"n = "&amp;'Chart Data'!C55</f>
        <v>n = 15</v>
      </c>
      <c r="P39" s="40"/>
      <c r="Q39" s="40" t="str">
        <f aca="false">"n = "&amp;'Chart Data'!C56</f>
        <v>n = 7</v>
      </c>
      <c r="R39" s="40"/>
      <c r="S39" s="7"/>
      <c r="T39" s="35" t="n">
        <v>3</v>
      </c>
      <c r="U39" s="36" t="str">
        <f aca="false">"Two risk windows: months 0-6 ("&amp;TEXT(Analysis!$E$47,"0%")&amp;") and 25+ ("&amp;TEXT(Analysis!$E$50,"0%")&amp;"), vs "&amp;TEXT(Analysis!$E$49,"0%")&amp;" in months 13-24."</f>
        <v>Two risk windows: months 0-6 (38%) and 25+ (34%), vs 21% in months 13-24.</v>
      </c>
      <c r="V39" s="36"/>
      <c r="W39" s="36"/>
      <c r="X39" s="36"/>
      <c r="Y39" s="36"/>
      <c r="Z39" s="36"/>
      <c r="AA39" s="28"/>
      <c r="AB39" s="7"/>
    </row>
    <row r="40" customFormat="false" ht="15" hidden="false" customHeight="true" outlineLevel="0" collapsed="false">
      <c r="A40" s="7"/>
      <c r="B40" s="26"/>
      <c r="C40" s="27"/>
      <c r="D40" s="27"/>
      <c r="E40" s="27"/>
      <c r="F40" s="27"/>
      <c r="G40" s="27"/>
      <c r="H40" s="27"/>
      <c r="I40" s="28"/>
      <c r="J40" s="7"/>
      <c r="K40" s="37" t="s">
        <v>35</v>
      </c>
      <c r="L40" s="37"/>
      <c r="M40" s="38" t="n">
        <f aca="false">IF('Chart Data'!C57=0,"–",'Chart Data'!E57)</f>
        <v>0.210526315789474</v>
      </c>
      <c r="N40" s="38"/>
      <c r="O40" s="38" t="n">
        <f aca="false">IF('Chart Data'!C58=0,"–",'Chart Data'!E58)</f>
        <v>0.1</v>
      </c>
      <c r="P40" s="38"/>
      <c r="Q40" s="38" t="n">
        <f aca="false">IF('Chart Data'!C59=0,"–",'Chart Data'!E59)</f>
        <v>0</v>
      </c>
      <c r="R40" s="38"/>
      <c r="S40" s="7"/>
      <c r="T40" s="35"/>
      <c r="U40" s="36"/>
      <c r="V40" s="36"/>
      <c r="W40" s="36"/>
      <c r="X40" s="36"/>
      <c r="Y40" s="36"/>
      <c r="Z40" s="36"/>
      <c r="AA40" s="28"/>
      <c r="AB40" s="7"/>
    </row>
    <row r="41" customFormat="false" ht="15" hidden="false" customHeight="true" outlineLevel="0" collapsed="false">
      <c r="A41" s="7"/>
      <c r="B41" s="26"/>
      <c r="C41" s="27"/>
      <c r="D41" s="27"/>
      <c r="E41" s="27"/>
      <c r="F41" s="27"/>
      <c r="G41" s="27"/>
      <c r="H41" s="27"/>
      <c r="I41" s="28"/>
      <c r="J41" s="7"/>
      <c r="K41" s="37"/>
      <c r="L41" s="37"/>
      <c r="M41" s="38"/>
      <c r="N41" s="38"/>
      <c r="O41" s="38"/>
      <c r="P41" s="38"/>
      <c r="Q41" s="38"/>
      <c r="R41" s="38"/>
      <c r="S41" s="7"/>
      <c r="T41" s="35"/>
      <c r="U41" s="36"/>
      <c r="V41" s="36"/>
      <c r="W41" s="36"/>
      <c r="X41" s="36"/>
      <c r="Y41" s="36"/>
      <c r="Z41" s="36"/>
      <c r="AA41" s="39"/>
      <c r="AB41" s="7"/>
    </row>
    <row r="42" customFormat="false" ht="15" hidden="false" customHeight="true" outlineLevel="0" collapsed="false">
      <c r="A42" s="7"/>
      <c r="B42" s="26"/>
      <c r="C42" s="27"/>
      <c r="D42" s="27"/>
      <c r="E42" s="27"/>
      <c r="F42" s="27"/>
      <c r="G42" s="27"/>
      <c r="H42" s="27"/>
      <c r="I42" s="28"/>
      <c r="J42" s="7"/>
      <c r="K42" s="37"/>
      <c r="L42" s="37"/>
      <c r="M42" s="40" t="str">
        <f aca="false">"n = "&amp;'Chart Data'!C57</f>
        <v>n = 19</v>
      </c>
      <c r="N42" s="40"/>
      <c r="O42" s="40" t="str">
        <f aca="false">"n = "&amp;'Chart Data'!C58</f>
        <v>n = 10</v>
      </c>
      <c r="P42" s="40"/>
      <c r="Q42" s="40" t="str">
        <f aca="false">"n = "&amp;'Chart Data'!C59</f>
        <v>n = 5</v>
      </c>
      <c r="R42" s="40"/>
      <c r="S42" s="7"/>
      <c r="T42" s="35" t="n">
        <v>4</v>
      </c>
      <c r="U42" s="36" t="str">
        <f aca="false">"Basic churns at "&amp;TEXT(Analysis!$E$31,"0%")&amp;" vs Premium "&amp;TEXT(Analysis!$E$33,"0%")&amp;" (Premium n = "&amp;Analysis!$C$33&amp;", directional only)."</f>
        <v>Basic churns at 34% vs Premium 19% (Premium n = 26, directional only).</v>
      </c>
      <c r="V42" s="36"/>
      <c r="W42" s="36"/>
      <c r="X42" s="36"/>
      <c r="Y42" s="36"/>
      <c r="Z42" s="36"/>
      <c r="AA42" s="28"/>
      <c r="AB42" s="7"/>
    </row>
    <row r="43" customFormat="false" ht="15" hidden="false" customHeight="true" outlineLevel="0" collapsed="false">
      <c r="A43" s="7"/>
      <c r="B43" s="26"/>
      <c r="C43" s="27"/>
      <c r="D43" s="27"/>
      <c r="E43" s="27"/>
      <c r="F43" s="27"/>
      <c r="G43" s="27"/>
      <c r="H43" s="27"/>
      <c r="I43" s="28"/>
      <c r="J43" s="7"/>
      <c r="K43" s="26"/>
      <c r="L43" s="27"/>
      <c r="M43" s="27"/>
      <c r="N43" s="27"/>
      <c r="O43" s="27"/>
      <c r="P43" s="27"/>
      <c r="Q43" s="27"/>
      <c r="R43" s="28"/>
      <c r="S43" s="7"/>
      <c r="T43" s="35"/>
      <c r="U43" s="36"/>
      <c r="V43" s="36"/>
      <c r="W43" s="36"/>
      <c r="X43" s="36"/>
      <c r="Y43" s="36"/>
      <c r="Z43" s="36"/>
      <c r="AA43" s="28"/>
      <c r="AB43" s="7"/>
    </row>
    <row r="44" customFormat="false" ht="15" hidden="false" customHeight="true" outlineLevel="0" collapsed="false">
      <c r="A44" s="7"/>
      <c r="B44" s="26"/>
      <c r="C44" s="27"/>
      <c r="D44" s="27"/>
      <c r="E44" s="27"/>
      <c r="F44" s="27"/>
      <c r="G44" s="27"/>
      <c r="H44" s="27"/>
      <c r="I44" s="28"/>
      <c r="J44" s="7"/>
      <c r="K44" s="41" t="s">
        <v>36</v>
      </c>
      <c r="L44" s="41"/>
      <c r="M44" s="42" t="str">
        <f aca="false">"High ≥ "&amp;TEXT(t_High,"0%")</f>
        <v>High ≥ 35%</v>
      </c>
      <c r="N44" s="42"/>
      <c r="O44" s="43" t="s">
        <v>37</v>
      </c>
      <c r="P44" s="43"/>
      <c r="Q44" s="44" t="str">
        <f aca="false">"Low &lt; "&amp;TEXT(t_Low,"0%")</f>
        <v>Low &lt; 25%</v>
      </c>
      <c r="R44" s="44"/>
      <c r="S44" s="7"/>
      <c r="T44" s="35"/>
      <c r="U44" s="36"/>
      <c r="V44" s="36"/>
      <c r="W44" s="36"/>
      <c r="X44" s="36"/>
      <c r="Y44" s="36"/>
      <c r="Z44" s="36"/>
      <c r="AA44" s="39"/>
      <c r="AB44" s="7"/>
    </row>
    <row r="45" customFormat="false" ht="15" hidden="false" customHeight="true" outlineLevel="0" collapsed="false">
      <c r="A45" s="7"/>
      <c r="B45" s="26"/>
      <c r="C45" s="27"/>
      <c r="D45" s="27"/>
      <c r="E45" s="27"/>
      <c r="F45" s="27"/>
      <c r="G45" s="27"/>
      <c r="H45" s="27"/>
      <c r="I45" s="28"/>
      <c r="J45" s="7"/>
      <c r="K45" s="26"/>
      <c r="L45" s="27"/>
      <c r="M45" s="27"/>
      <c r="N45" s="27"/>
      <c r="O45" s="27"/>
      <c r="P45" s="27"/>
      <c r="Q45" s="27"/>
      <c r="R45" s="28"/>
      <c r="S45" s="7"/>
      <c r="T45" s="45" t="n">
        <v>5</v>
      </c>
      <c r="U45" s="36" t="str">
        <f aca="false">"Support volume shows no clear link to churn: churned and retained customers average "&amp;TEXT(m_SupCh,"0.0")&amp;" vs "&amp;TEXT(m_SupRet,"0.0")&amp;" contacts."</f>
        <v>Support volume shows no clear link to churn: churned and retained customers average 1.7 vs 1.7 contacts.</v>
      </c>
      <c r="V45" s="36"/>
      <c r="W45" s="36"/>
      <c r="X45" s="36"/>
      <c r="Y45" s="36"/>
      <c r="Z45" s="36"/>
      <c r="AA45" s="28"/>
      <c r="AB45" s="7"/>
    </row>
    <row r="46" customFormat="false" ht="15" hidden="false" customHeight="true" outlineLevel="0" collapsed="false">
      <c r="A46" s="7"/>
      <c r="B46" s="26"/>
      <c r="C46" s="27"/>
      <c r="D46" s="27"/>
      <c r="E46" s="27"/>
      <c r="F46" s="27"/>
      <c r="G46" s="27"/>
      <c r="H46" s="27"/>
      <c r="I46" s="28"/>
      <c r="J46" s="7"/>
      <c r="K46" s="46" t="str">
        <f aca="false">"Small groups swing wildly: segments under "&amp;t_MinN&amp;" customers are never named the highest risk."</f>
        <v>Small groups swing wildly: segments under 10 customers are never named the highest risk.</v>
      </c>
      <c r="L46" s="46"/>
      <c r="M46" s="46"/>
      <c r="N46" s="46"/>
      <c r="O46" s="46"/>
      <c r="P46" s="46"/>
      <c r="Q46" s="46"/>
      <c r="R46" s="46"/>
      <c r="S46" s="7"/>
      <c r="T46" s="45"/>
      <c r="U46" s="36"/>
      <c r="V46" s="36"/>
      <c r="W46" s="36"/>
      <c r="X46" s="36"/>
      <c r="Y46" s="36"/>
      <c r="Z46" s="36"/>
      <c r="AA46" s="28"/>
      <c r="AB46" s="7"/>
    </row>
    <row r="47" customFormat="false" ht="15" hidden="false" customHeight="true" outlineLevel="0" collapsed="false">
      <c r="A47" s="7"/>
      <c r="B47" s="26"/>
      <c r="C47" s="27"/>
      <c r="D47" s="27"/>
      <c r="E47" s="27"/>
      <c r="F47" s="27"/>
      <c r="G47" s="27"/>
      <c r="H47" s="27"/>
      <c r="I47" s="28"/>
      <c r="J47" s="7"/>
      <c r="K47" s="46"/>
      <c r="L47" s="46"/>
      <c r="M47" s="46"/>
      <c r="N47" s="46"/>
      <c r="O47" s="46"/>
      <c r="P47" s="46"/>
      <c r="Q47" s="46"/>
      <c r="R47" s="46"/>
      <c r="S47" s="7"/>
      <c r="T47" s="45"/>
      <c r="U47" s="36"/>
      <c r="V47" s="36"/>
      <c r="W47" s="36"/>
      <c r="X47" s="36"/>
      <c r="Y47" s="36"/>
      <c r="Z47" s="36"/>
      <c r="AA47" s="39"/>
      <c r="AB47" s="7"/>
    </row>
    <row r="48" customFormat="false" ht="6" hidden="false" customHeight="true" outlineLevel="0" collapsed="false">
      <c r="A48" s="7"/>
      <c r="B48" s="29"/>
      <c r="C48" s="30"/>
      <c r="D48" s="30"/>
      <c r="E48" s="30"/>
      <c r="F48" s="30"/>
      <c r="G48" s="30"/>
      <c r="H48" s="30"/>
      <c r="I48" s="31"/>
      <c r="J48" s="7"/>
      <c r="K48" s="29"/>
      <c r="L48" s="30"/>
      <c r="M48" s="30"/>
      <c r="N48" s="30"/>
      <c r="O48" s="30"/>
      <c r="P48" s="30"/>
      <c r="Q48" s="30"/>
      <c r="R48" s="31"/>
      <c r="S48" s="7"/>
      <c r="T48" s="29"/>
      <c r="U48" s="30"/>
      <c r="V48" s="30"/>
      <c r="W48" s="30"/>
      <c r="X48" s="30"/>
      <c r="Y48" s="30"/>
      <c r="Z48" s="30"/>
      <c r="AA48" s="31"/>
      <c r="AB48" s="7"/>
    </row>
    <row r="49" customFormat="false" ht="9.75" hidden="false" customHeight="true" outlineLevel="0" collapsed="false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customFormat="false" ht="16.5" hidden="false" customHeight="true" outlineLevel="0" collapsed="false">
      <c r="A50" s="1"/>
      <c r="B50" s="47" t="s">
        <v>38</v>
      </c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1"/>
    </row>
    <row r="51" customFormat="false" ht="16.5" hidden="false" customHeight="true" outlineLevel="0" collapsed="false">
      <c r="A51" s="1"/>
      <c r="B51" s="47" t="s">
        <v>39</v>
      </c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1"/>
    </row>
    <row r="52" customFormat="false" ht="7.5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</sheetData>
  <mergeCells count="85">
    <mergeCell ref="B2:S2"/>
    <mergeCell ref="T2:AA2"/>
    <mergeCell ref="B3:S3"/>
    <mergeCell ref="T3:AA3"/>
    <mergeCell ref="B6:C6"/>
    <mergeCell ref="D6:F6"/>
    <mergeCell ref="G6:I6"/>
    <mergeCell ref="K6:L6"/>
    <mergeCell ref="M6:O6"/>
    <mergeCell ref="P6:R6"/>
    <mergeCell ref="T6:U6"/>
    <mergeCell ref="V6:X6"/>
    <mergeCell ref="Y6:AA6"/>
    <mergeCell ref="B8:E8"/>
    <mergeCell ref="F8:J8"/>
    <mergeCell ref="K8:N8"/>
    <mergeCell ref="O8:S8"/>
    <mergeCell ref="T8:W8"/>
    <mergeCell ref="X8:AA8"/>
    <mergeCell ref="B9:E9"/>
    <mergeCell ref="F9:J9"/>
    <mergeCell ref="K9:N9"/>
    <mergeCell ref="O9:S9"/>
    <mergeCell ref="T9:W9"/>
    <mergeCell ref="X9:AA9"/>
    <mergeCell ref="B10:E10"/>
    <mergeCell ref="F10:J10"/>
    <mergeCell ref="K10:N10"/>
    <mergeCell ref="O10:S10"/>
    <mergeCell ref="T10:W10"/>
    <mergeCell ref="X10:AA10"/>
    <mergeCell ref="B12:I12"/>
    <mergeCell ref="K12:R12"/>
    <mergeCell ref="T12:AA12"/>
    <mergeCell ref="B13:I13"/>
    <mergeCell ref="K13:R13"/>
    <mergeCell ref="T13:AA13"/>
    <mergeCell ref="B31:I31"/>
    <mergeCell ref="K31:R31"/>
    <mergeCell ref="T31:AA31"/>
    <mergeCell ref="B32:I32"/>
    <mergeCell ref="K32:R32"/>
    <mergeCell ref="T32:AA32"/>
    <mergeCell ref="K33:L33"/>
    <mergeCell ref="M33:N33"/>
    <mergeCell ref="O33:P33"/>
    <mergeCell ref="Q33:R33"/>
    <mergeCell ref="T33:T35"/>
    <mergeCell ref="U33:Z35"/>
    <mergeCell ref="K34:L36"/>
    <mergeCell ref="M34:N35"/>
    <mergeCell ref="O34:P35"/>
    <mergeCell ref="Q34:R35"/>
    <mergeCell ref="M36:N36"/>
    <mergeCell ref="O36:P36"/>
    <mergeCell ref="Q36:R36"/>
    <mergeCell ref="T36:T38"/>
    <mergeCell ref="U36:Z38"/>
    <mergeCell ref="K37:L39"/>
    <mergeCell ref="M37:N38"/>
    <mergeCell ref="O37:P38"/>
    <mergeCell ref="Q37:R38"/>
    <mergeCell ref="M39:N39"/>
    <mergeCell ref="O39:P39"/>
    <mergeCell ref="Q39:R39"/>
    <mergeCell ref="T39:T41"/>
    <mergeCell ref="U39:Z41"/>
    <mergeCell ref="K40:L42"/>
    <mergeCell ref="M40:N41"/>
    <mergeCell ref="O40:P41"/>
    <mergeCell ref="Q40:R41"/>
    <mergeCell ref="M42:N42"/>
    <mergeCell ref="O42:P42"/>
    <mergeCell ref="Q42:R42"/>
    <mergeCell ref="T42:T44"/>
    <mergeCell ref="U42:Z44"/>
    <mergeCell ref="K44:L44"/>
    <mergeCell ref="M44:N44"/>
    <mergeCell ref="O44:P44"/>
    <mergeCell ref="Q44:R44"/>
    <mergeCell ref="T45:T47"/>
    <mergeCell ref="U45:Z47"/>
    <mergeCell ref="K46:R47"/>
    <mergeCell ref="B50:AA50"/>
    <mergeCell ref="B51:AA51"/>
  </mergeCells>
  <conditionalFormatting sqref="M34:N36">
    <cfRule type="expression" priority="2" aboveAverage="0" equalAverage="0" bottom="0" percent="0" rank="0" text="" dxfId="0">
      <formula>AND(ISNUMBER($M$34),$M$34&gt;=t_High)</formula>
    </cfRule>
    <cfRule type="expression" priority="3" aboveAverage="0" equalAverage="0" bottom="0" percent="0" rank="0" text="" dxfId="1">
      <formula>AND(ISNUMBER($M$34),$M$34&gt;=t_Low)</formula>
    </cfRule>
    <cfRule type="expression" priority="4" aboveAverage="0" equalAverage="0" bottom="0" percent="0" rank="0" text="" dxfId="2">
      <formula>ISNUMBER($M$34)</formula>
    </cfRule>
    <cfRule type="expression" priority="5" aboveAverage="0" equalAverage="0" bottom="0" percent="0" rank="0" text="" dxfId="3">
      <formula>NOT(ISNUMBER($M$34))</formula>
    </cfRule>
  </conditionalFormatting>
  <conditionalFormatting sqref="O34:P36">
    <cfRule type="expression" priority="6" aboveAverage="0" equalAverage="0" bottom="0" percent="0" rank="0" text="" dxfId="0">
      <formula>AND(ISNUMBER($O$34),$O$34&gt;=t_High)</formula>
    </cfRule>
    <cfRule type="expression" priority="7" aboveAverage="0" equalAverage="0" bottom="0" percent="0" rank="0" text="" dxfId="1">
      <formula>AND(ISNUMBER($O$34),$O$34&gt;=t_Low)</formula>
    </cfRule>
    <cfRule type="expression" priority="8" aboveAverage="0" equalAverage="0" bottom="0" percent="0" rank="0" text="" dxfId="2">
      <formula>ISNUMBER($O$34)</formula>
    </cfRule>
    <cfRule type="expression" priority="9" aboveAverage="0" equalAverage="0" bottom="0" percent="0" rank="0" text="" dxfId="3">
      <formula>NOT(ISNUMBER($O$34))</formula>
    </cfRule>
  </conditionalFormatting>
  <conditionalFormatting sqref="Q34:R36">
    <cfRule type="expression" priority="10" aboveAverage="0" equalAverage="0" bottom="0" percent="0" rank="0" text="" dxfId="0">
      <formula>AND(ISNUMBER($Q$34),$Q$34&gt;=t_High)</formula>
    </cfRule>
    <cfRule type="expression" priority="11" aboveAverage="0" equalAverage="0" bottom="0" percent="0" rank="0" text="" dxfId="1">
      <formula>AND(ISNUMBER($Q$34),$Q$34&gt;=t_Low)</formula>
    </cfRule>
    <cfRule type="expression" priority="12" aboveAverage="0" equalAverage="0" bottom="0" percent="0" rank="0" text="" dxfId="2">
      <formula>ISNUMBER($Q$34)</formula>
    </cfRule>
    <cfRule type="expression" priority="13" aboveAverage="0" equalAverage="0" bottom="0" percent="0" rank="0" text="" dxfId="3">
      <formula>NOT(ISNUMBER($Q$34))</formula>
    </cfRule>
  </conditionalFormatting>
  <conditionalFormatting sqref="M37:N39">
    <cfRule type="expression" priority="14" aboveAverage="0" equalAverage="0" bottom="0" percent="0" rank="0" text="" dxfId="0">
      <formula>AND(ISNUMBER($M$37),$M$37&gt;=t_High)</formula>
    </cfRule>
    <cfRule type="expression" priority="15" aboveAverage="0" equalAverage="0" bottom="0" percent="0" rank="0" text="" dxfId="1">
      <formula>AND(ISNUMBER($M$37),$M$37&gt;=t_Low)</formula>
    </cfRule>
    <cfRule type="expression" priority="16" aboveAverage="0" equalAverage="0" bottom="0" percent="0" rank="0" text="" dxfId="2">
      <formula>ISNUMBER($M$37)</formula>
    </cfRule>
    <cfRule type="expression" priority="17" aboveAverage="0" equalAverage="0" bottom="0" percent="0" rank="0" text="" dxfId="3">
      <formula>NOT(ISNUMBER($M$37))</formula>
    </cfRule>
  </conditionalFormatting>
  <conditionalFormatting sqref="O37:P39">
    <cfRule type="expression" priority="18" aboveAverage="0" equalAverage="0" bottom="0" percent="0" rank="0" text="" dxfId="0">
      <formula>AND(ISNUMBER($O$37),$O$37&gt;=t_High)</formula>
    </cfRule>
    <cfRule type="expression" priority="19" aboveAverage="0" equalAverage="0" bottom="0" percent="0" rank="0" text="" dxfId="1">
      <formula>AND(ISNUMBER($O$37),$O$37&gt;=t_Low)</formula>
    </cfRule>
    <cfRule type="expression" priority="20" aboveAverage="0" equalAverage="0" bottom="0" percent="0" rank="0" text="" dxfId="2">
      <formula>ISNUMBER($O$37)</formula>
    </cfRule>
    <cfRule type="expression" priority="21" aboveAverage="0" equalAverage="0" bottom="0" percent="0" rank="0" text="" dxfId="3">
      <formula>NOT(ISNUMBER($O$37))</formula>
    </cfRule>
  </conditionalFormatting>
  <conditionalFormatting sqref="Q37:R39">
    <cfRule type="expression" priority="22" aboveAverage="0" equalAverage="0" bottom="0" percent="0" rank="0" text="" dxfId="0">
      <formula>AND(ISNUMBER($Q$37),$Q$37&gt;=t_High)</formula>
    </cfRule>
    <cfRule type="expression" priority="23" aboveAverage="0" equalAverage="0" bottom="0" percent="0" rank="0" text="" dxfId="1">
      <formula>AND(ISNUMBER($Q$37),$Q$37&gt;=t_Low)</formula>
    </cfRule>
    <cfRule type="expression" priority="24" aboveAverage="0" equalAverage="0" bottom="0" percent="0" rank="0" text="" dxfId="2">
      <formula>ISNUMBER($Q$37)</formula>
    </cfRule>
    <cfRule type="expression" priority="25" aboveAverage="0" equalAverage="0" bottom="0" percent="0" rank="0" text="" dxfId="3">
      <formula>NOT(ISNUMBER($Q$37))</formula>
    </cfRule>
  </conditionalFormatting>
  <conditionalFormatting sqref="M40:N42">
    <cfRule type="expression" priority="26" aboveAverage="0" equalAverage="0" bottom="0" percent="0" rank="0" text="" dxfId="0">
      <formula>AND(ISNUMBER($M$40),$M$40&gt;=t_High)</formula>
    </cfRule>
    <cfRule type="expression" priority="27" aboveAverage="0" equalAverage="0" bottom="0" percent="0" rank="0" text="" dxfId="1">
      <formula>AND(ISNUMBER($M$40),$M$40&gt;=t_Low)</formula>
    </cfRule>
    <cfRule type="expression" priority="28" aboveAverage="0" equalAverage="0" bottom="0" percent="0" rank="0" text="" dxfId="2">
      <formula>ISNUMBER($M$40)</formula>
    </cfRule>
    <cfRule type="expression" priority="29" aboveAverage="0" equalAverage="0" bottom="0" percent="0" rank="0" text="" dxfId="3">
      <formula>NOT(ISNUMBER($M$40))</formula>
    </cfRule>
  </conditionalFormatting>
  <conditionalFormatting sqref="O40:P42">
    <cfRule type="expression" priority="30" aboveAverage="0" equalAverage="0" bottom="0" percent="0" rank="0" text="" dxfId="0">
      <formula>AND(ISNUMBER($O$40),$O$40&gt;=t_High)</formula>
    </cfRule>
    <cfRule type="expression" priority="31" aboveAverage="0" equalAverage="0" bottom="0" percent="0" rank="0" text="" dxfId="1">
      <formula>AND(ISNUMBER($O$40),$O$40&gt;=t_Low)</formula>
    </cfRule>
    <cfRule type="expression" priority="32" aboveAverage="0" equalAverage="0" bottom="0" percent="0" rank="0" text="" dxfId="2">
      <formula>ISNUMBER($O$40)</formula>
    </cfRule>
    <cfRule type="expression" priority="33" aboveAverage="0" equalAverage="0" bottom="0" percent="0" rank="0" text="" dxfId="3">
      <formula>NOT(ISNUMBER($O$40))</formula>
    </cfRule>
  </conditionalFormatting>
  <conditionalFormatting sqref="Q40:R42">
    <cfRule type="expression" priority="34" aboveAverage="0" equalAverage="0" bottom="0" percent="0" rank="0" text="" dxfId="0">
      <formula>AND(ISNUMBER($Q$40),$Q$40&gt;=t_High)</formula>
    </cfRule>
    <cfRule type="expression" priority="35" aboveAverage="0" equalAverage="0" bottom="0" percent="0" rank="0" text="" dxfId="1">
      <formula>AND(ISNUMBER($Q$40),$Q$40&gt;=t_Low)</formula>
    </cfRule>
    <cfRule type="expression" priority="36" aboveAverage="0" equalAverage="0" bottom="0" percent="0" rank="0" text="" dxfId="2">
      <formula>ISNUMBER($Q$40)</formula>
    </cfRule>
    <cfRule type="expression" priority="37" aboveAverage="0" equalAverage="0" bottom="0" percent="0" rank="0" text="" dxfId="3">
      <formula>NOT(ISNUMBER($Q$40))</formula>
    </cfRule>
  </conditionalFormatting>
  <dataValidations count="3">
    <dataValidation allowBlank="false" error="Choose one of the listed options." errorStyle="stop" errorTitle="Pick from the list" operator="between" showDropDown="false" showErrorMessage="true" showInputMessage="false" sqref="D6" type="list">
      <formula1>"All,Abuja,Ibadan,Kano,Lagos,Port Harcourt"</formula1>
      <formula2>0</formula2>
    </dataValidation>
    <dataValidation allowBlank="false" error="Choose one of the listed options." errorStyle="stop" errorTitle="Pick from the list" operator="between" showDropDown="false" showErrorMessage="true" showInputMessage="false" sqref="M6" type="list">
      <formula1>"All,Basic,Standard,Premium"</formula1>
      <formula2>0</formula2>
    </dataValidation>
    <dataValidation allowBlank="false" error="Choose one of the listed options." errorStyle="stop" errorTitle="Pick from the list" operator="between" showDropDown="false" showErrorMessage="true" showInputMessage="false" sqref="V6" type="list">
      <formula1>"All,Monthly,Quarterly,Annual"</formula1>
      <formula2>0</formula2>
    </dataValidation>
  </dataValidations>
  <printOptions headings="false" gridLines="false" gridLinesSet="true" horizontalCentered="false" verticalCentered="false"/>
  <pageMargins left="0.3" right="0.3" top="0.3" bottom="0.3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F33"/>
    <pageSetUpPr fitToPage="true"/>
  </sheetPr>
  <dimension ref="A1:R8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7" min="3" style="0" width="13"/>
    <col collapsed="false" customWidth="true" hidden="false" outlineLevel="0" max="9" min="8" style="0" width="9"/>
    <col collapsed="false" customWidth="true" hidden="false" outlineLevel="0" max="10" min="10" style="0" width="3"/>
    <col collapsed="false" customWidth="true" hidden="false" outlineLevel="0" max="11" min="11" style="0" width="30"/>
    <col collapsed="false" customWidth="true" hidden="false" outlineLevel="0" max="15" min="12" style="0" width="14"/>
    <col collapsed="false" customWidth="true" hidden="false" outlineLevel="0" max="16" min="16" style="0" width="16"/>
    <col collapsed="false" customWidth="true" hidden="false" outlineLevel="0" max="17" min="17" style="0" width="14"/>
    <col collapsed="false" customWidth="true" hidden="false" outlineLevel="0" max="18" min="18" style="0" width="2"/>
  </cols>
  <sheetData>
    <row r="1" customFormat="false" ht="7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30" hidden="false" customHeight="true" outlineLevel="0" collapsed="false">
      <c r="A2" s="1"/>
      <c r="B2" s="48" t="s">
        <v>40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1"/>
    </row>
    <row r="3" customFormat="false" ht="18" hidden="false" customHeight="true" outlineLevel="0" collapsed="false">
      <c r="A3" s="1"/>
      <c r="B3" s="49" t="s">
        <v>41</v>
      </c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1"/>
    </row>
    <row r="4" customFormat="false" ht="3.75" hidden="false" customHeight="true" outlineLevel="0" collapsed="false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</row>
    <row r="6" customFormat="false" ht="15" hidden="false" customHeight="false" outlineLevel="0" collapsed="false">
      <c r="B6" s="50" t="s">
        <v>42</v>
      </c>
      <c r="C6" s="50"/>
      <c r="D6" s="50"/>
      <c r="E6" s="50"/>
      <c r="F6" s="50"/>
      <c r="G6" s="50"/>
      <c r="K6" s="50" t="s">
        <v>43</v>
      </c>
      <c r="L6" s="50"/>
      <c r="M6" s="50"/>
      <c r="N6" s="50"/>
      <c r="O6" s="50"/>
      <c r="P6" s="50"/>
      <c r="Q6" s="50"/>
    </row>
    <row r="7" customFormat="false" ht="15" hidden="false" customHeight="false" outlineLevel="0" collapsed="false">
      <c r="B7" s="51" t="s">
        <v>44</v>
      </c>
      <c r="C7" s="52" t="n">
        <f aca="false">COUNTA(d_Churned)</f>
        <v>150</v>
      </c>
      <c r="D7" s="53" t="s">
        <v>45</v>
      </c>
      <c r="E7" s="53"/>
      <c r="F7" s="53"/>
      <c r="G7" s="53"/>
      <c r="K7" s="54" t="s">
        <v>46</v>
      </c>
      <c r="L7" s="55" t="s">
        <v>47</v>
      </c>
      <c r="M7" s="55" t="s">
        <v>48</v>
      </c>
      <c r="N7" s="55" t="s">
        <v>49</v>
      </c>
      <c r="O7" s="55" t="s">
        <v>50</v>
      </c>
      <c r="P7" s="55" t="s">
        <v>51</v>
      </c>
      <c r="Q7" s="55" t="s">
        <v>52</v>
      </c>
    </row>
    <row r="8" customFormat="false" ht="15" hidden="false" customHeight="false" outlineLevel="0" collapsed="false">
      <c r="B8" s="51" t="s">
        <v>53</v>
      </c>
      <c r="C8" s="52" t="n">
        <f aca="false">COUNTIF(d_Churned,"Yes")</f>
        <v>43</v>
      </c>
      <c r="D8" s="53" t="s">
        <v>54</v>
      </c>
      <c r="E8" s="53"/>
      <c r="F8" s="53"/>
      <c r="G8" s="53"/>
      <c r="K8" s="56" t="s">
        <v>55</v>
      </c>
      <c r="L8" s="57" t="n">
        <f aca="false">COUNTIFS(d_Plan,"Basic",d_Contract,"Monthly")</f>
        <v>35</v>
      </c>
      <c r="M8" s="57" t="n">
        <f aca="false">COUNTIFS(d_Plan,"Basic",d_Contract,"Monthly",d_Churned,"Yes")</f>
        <v>15</v>
      </c>
      <c r="N8" s="58" t="n">
        <f aca="false">IF(L8=0,0,M8/L8)</f>
        <v>0.428571428571429</v>
      </c>
      <c r="O8" s="59" t="n">
        <f aca="false">SUMIFS(d_Total,d_Plan,"Basic",d_Contract,"Monthly",d_Churned,"Yes")</f>
        <v>2250300</v>
      </c>
      <c r="P8" s="60" t="n">
        <f aca="false">IF(L8&gt;=t_MinN,N8,-1)</f>
        <v>0.428571428571429</v>
      </c>
      <c r="Q8" s="61" t="n">
        <f aca="false">IF(P8&lt;0,"–",RANK(P8,$P$8:$P$16))</f>
        <v>1</v>
      </c>
    </row>
    <row r="9" customFormat="false" ht="15" hidden="false" customHeight="false" outlineLevel="0" collapsed="false">
      <c r="B9" s="51" t="s">
        <v>56</v>
      </c>
      <c r="C9" s="52" t="n">
        <f aca="false">C7-C8</f>
        <v>107</v>
      </c>
      <c r="D9" s="53"/>
      <c r="E9" s="53"/>
      <c r="F9" s="53"/>
      <c r="G9" s="53"/>
      <c r="K9" s="56" t="s">
        <v>57</v>
      </c>
      <c r="L9" s="57" t="n">
        <f aca="false">COUNTIFS(d_Plan,"Standard",d_Contract,"Monthly")</f>
        <v>26</v>
      </c>
      <c r="M9" s="57" t="n">
        <f aca="false">COUNTIFS(d_Plan,"Standard",d_Contract,"Monthly",d_Churned,"Yes")</f>
        <v>8</v>
      </c>
      <c r="N9" s="58" t="n">
        <f aca="false">IF(L9=0,0,M9/L9)</f>
        <v>0.307692307692308</v>
      </c>
      <c r="O9" s="59" t="n">
        <f aca="false">SUMIFS(d_Total,d_Plan,"Standard",d_Contract,"Monthly",d_Churned,"Yes")</f>
        <v>2981000</v>
      </c>
      <c r="P9" s="60" t="n">
        <f aca="false">IF(L9&gt;=t_MinN,N9,-1)</f>
        <v>0.307692307692308</v>
      </c>
      <c r="Q9" s="61" t="n">
        <f aca="false">IF(P9&lt;0,"–",RANK(P9,$P$8:$P$16))</f>
        <v>3</v>
      </c>
    </row>
    <row r="10" customFormat="false" ht="15" hidden="false" customHeight="false" outlineLevel="0" collapsed="false">
      <c r="B10" s="51" t="s">
        <v>49</v>
      </c>
      <c r="C10" s="62" t="n">
        <f aca="false">C8/C7</f>
        <v>0.286666666666667</v>
      </c>
      <c r="D10" s="53" t="s">
        <v>58</v>
      </c>
      <c r="E10" s="53"/>
      <c r="F10" s="53"/>
      <c r="G10" s="53"/>
      <c r="K10" s="56" t="s">
        <v>59</v>
      </c>
      <c r="L10" s="57" t="n">
        <f aca="false">COUNTIFS(d_Plan,"Premium",d_Contract,"Monthly")</f>
        <v>14</v>
      </c>
      <c r="M10" s="57" t="n">
        <f aca="false">COUNTIFS(d_Plan,"Premium",d_Contract,"Monthly",d_Churned,"Yes")</f>
        <v>3</v>
      </c>
      <c r="N10" s="58" t="n">
        <f aca="false">IF(L10=0,0,M10/L10)</f>
        <v>0.214285714285714</v>
      </c>
      <c r="O10" s="59" t="n">
        <f aca="false">SUMIFS(d_Total,d_Plan,"Premium",d_Contract,"Monthly",d_Churned,"Yes")</f>
        <v>1593600</v>
      </c>
      <c r="P10" s="60" t="n">
        <f aca="false">IF(L10&gt;=t_MinN,N10,-1)</f>
        <v>0.214285714285714</v>
      </c>
      <c r="Q10" s="61" t="n">
        <f aca="false">IF(P10&lt;0,"–",RANK(P10,$P$8:$P$16))</f>
        <v>5</v>
      </c>
    </row>
    <row r="11" customFormat="false" ht="15" hidden="false" customHeight="false" outlineLevel="0" collapsed="false">
      <c r="B11" s="51" t="s">
        <v>60</v>
      </c>
      <c r="C11" s="63" t="n">
        <f aca="false">1.96*SQRT(C10*(1-C10)/C7)*100</f>
        <v>7.23677882097441</v>
      </c>
      <c r="D11" s="53" t="s">
        <v>61</v>
      </c>
      <c r="E11" s="53"/>
      <c r="F11" s="53"/>
      <c r="G11" s="53"/>
      <c r="K11" s="56" t="s">
        <v>62</v>
      </c>
      <c r="L11" s="57" t="n">
        <f aca="false">COUNTIFS(d_Plan,"Basic",d_Contract,"Quarterly")</f>
        <v>19</v>
      </c>
      <c r="M11" s="57" t="n">
        <f aca="false">COUNTIFS(d_Plan,"Basic",d_Contract,"Quarterly",d_Churned,"Yes")</f>
        <v>6</v>
      </c>
      <c r="N11" s="58" t="n">
        <f aca="false">IF(L11=0,0,M11/L11)</f>
        <v>0.315789473684211</v>
      </c>
      <c r="O11" s="59" t="n">
        <f aca="false">SUMIFS(d_Total,d_Plan,"Basic",d_Contract,"Quarterly",d_Churned,"Yes")</f>
        <v>831300</v>
      </c>
      <c r="P11" s="60" t="n">
        <f aca="false">IF(L11&gt;=t_MinN,N11,-1)</f>
        <v>0.315789473684211</v>
      </c>
      <c r="Q11" s="61" t="n">
        <f aca="false">IF(P11&lt;0,"–",RANK(P11,$P$8:$P$16))</f>
        <v>2</v>
      </c>
    </row>
    <row r="12" customFormat="false" ht="15" hidden="false" customHeight="false" outlineLevel="0" collapsed="false">
      <c r="B12" s="51" t="s">
        <v>63</v>
      </c>
      <c r="C12" s="64" t="n">
        <f aca="false">AVERAGE(d_Monthly)</f>
        <v>13128.6666666667</v>
      </c>
      <c r="D12" s="53"/>
      <c r="E12" s="53"/>
      <c r="F12" s="53"/>
      <c r="G12" s="53"/>
      <c r="K12" s="56" t="s">
        <v>64</v>
      </c>
      <c r="L12" s="57" t="n">
        <f aca="false">COUNTIFS(d_Plan,"Standard",d_Contract,"Quarterly")</f>
        <v>15</v>
      </c>
      <c r="M12" s="57" t="n">
        <f aca="false">COUNTIFS(d_Plan,"Standard",d_Contract,"Quarterly",d_Churned,"Yes")</f>
        <v>4</v>
      </c>
      <c r="N12" s="58" t="n">
        <f aca="false">IF(L12=0,0,M12/L12)</f>
        <v>0.266666666666667</v>
      </c>
      <c r="O12" s="59" t="n">
        <f aca="false">SUMIFS(d_Total,d_Plan,"Standard",d_Contract,"Quarterly",d_Churned,"Yes")</f>
        <v>751800</v>
      </c>
      <c r="P12" s="60" t="n">
        <f aca="false">IF(L12&gt;=t_MinN,N12,-1)</f>
        <v>0.266666666666667</v>
      </c>
      <c r="Q12" s="61" t="n">
        <f aca="false">IF(P12&lt;0,"–",RANK(P12,$P$8:$P$16))</f>
        <v>4</v>
      </c>
    </row>
    <row r="13" customFormat="false" ht="15" hidden="false" customHeight="false" outlineLevel="0" collapsed="false">
      <c r="B13" s="51" t="s">
        <v>65</v>
      </c>
      <c r="C13" s="64" t="n">
        <f aca="false">AVERAGEIFS(d_Monthly,d_Churned,"Yes")</f>
        <v>11851.1627906977</v>
      </c>
      <c r="D13" s="53" t="s">
        <v>66</v>
      </c>
      <c r="E13" s="53"/>
      <c r="F13" s="53"/>
      <c r="G13" s="53"/>
      <c r="K13" s="56" t="s">
        <v>67</v>
      </c>
      <c r="L13" s="57" t="n">
        <f aca="false">COUNTIFS(d_Plan,"Premium",d_Contract,"Quarterly")</f>
        <v>7</v>
      </c>
      <c r="M13" s="57" t="n">
        <f aca="false">COUNTIFS(d_Plan,"Premium",d_Contract,"Quarterly",d_Churned,"Yes")</f>
        <v>2</v>
      </c>
      <c r="N13" s="58" t="n">
        <f aca="false">IF(L13=0,0,M13/L13)</f>
        <v>0.285714285714286</v>
      </c>
      <c r="O13" s="59" t="n">
        <f aca="false">SUMIFS(d_Total,d_Plan,"Premium",d_Contract,"Quarterly",d_Churned,"Yes")</f>
        <v>626700</v>
      </c>
      <c r="P13" s="60" t="n">
        <f aca="false">IF(L13&gt;=t_MinN,N13,-1)</f>
        <v>-1</v>
      </c>
      <c r="Q13" s="61" t="str">
        <f aca="false">IF(P13&lt;0,"–",RANK(P13,$P$8:$P$16))</f>
        <v>–</v>
      </c>
    </row>
    <row r="14" customFormat="false" ht="15" hidden="false" customHeight="false" outlineLevel="0" collapsed="false">
      <c r="B14" s="51" t="s">
        <v>68</v>
      </c>
      <c r="C14" s="64" t="n">
        <f aca="false">AVERAGEIFS(d_Monthly,d_Churned,"No")</f>
        <v>13642.0560747664</v>
      </c>
      <c r="D14" s="53"/>
      <c r="E14" s="53"/>
      <c r="F14" s="53"/>
      <c r="G14" s="53"/>
      <c r="K14" s="56" t="s">
        <v>69</v>
      </c>
      <c r="L14" s="57" t="n">
        <f aca="false">COUNTIFS(d_Plan,"Basic",d_Contract,"Annual")</f>
        <v>19</v>
      </c>
      <c r="M14" s="57" t="n">
        <f aca="false">COUNTIFS(d_Plan,"Basic",d_Contract,"Annual",d_Churned,"Yes")</f>
        <v>4</v>
      </c>
      <c r="N14" s="58" t="n">
        <f aca="false">IF(L14=0,0,M14/L14)</f>
        <v>0.210526315789474</v>
      </c>
      <c r="O14" s="59" t="n">
        <f aca="false">SUMIFS(d_Total,d_Plan,"Basic",d_Contract,"Annual",d_Churned,"Yes")</f>
        <v>839700</v>
      </c>
      <c r="P14" s="60" t="n">
        <f aca="false">IF(L14&gt;=t_MinN,N14,-1)</f>
        <v>0.210526315789474</v>
      </c>
      <c r="Q14" s="61" t="n">
        <f aca="false">IF(P14&lt;0,"–",RANK(P14,$P$8:$P$16))</f>
        <v>6</v>
      </c>
    </row>
    <row r="15" customFormat="false" ht="15" hidden="false" customHeight="false" outlineLevel="0" collapsed="false">
      <c r="B15" s="51" t="s">
        <v>70</v>
      </c>
      <c r="C15" s="63" t="n">
        <f aca="false">AVERAGE(d_Tenure)</f>
        <v>19.3333333333333</v>
      </c>
      <c r="D15" s="53"/>
      <c r="E15" s="53"/>
      <c r="F15" s="53"/>
      <c r="G15" s="53"/>
      <c r="K15" s="56" t="s">
        <v>71</v>
      </c>
      <c r="L15" s="57" t="n">
        <f aca="false">COUNTIFS(d_Plan,"Standard",d_Contract,"Annual")</f>
        <v>10</v>
      </c>
      <c r="M15" s="57" t="n">
        <f aca="false">COUNTIFS(d_Plan,"Standard",d_Contract,"Annual",d_Churned,"Yes")</f>
        <v>1</v>
      </c>
      <c r="N15" s="58" t="n">
        <f aca="false">IF(L15=0,0,M15/L15)</f>
        <v>0.1</v>
      </c>
      <c r="O15" s="59" t="n">
        <f aca="false">SUMIFS(d_Total,d_Plan,"Standard",d_Contract,"Annual",d_Churned,"Yes")</f>
        <v>45300</v>
      </c>
      <c r="P15" s="60" t="n">
        <f aca="false">IF(L15&gt;=t_MinN,N15,-1)</f>
        <v>0.1</v>
      </c>
      <c r="Q15" s="61" t="n">
        <f aca="false">IF(P15&lt;0,"–",RANK(P15,$P$8:$P$16))</f>
        <v>7</v>
      </c>
    </row>
    <row r="16" customFormat="false" ht="15" hidden="false" customHeight="false" outlineLevel="0" collapsed="false">
      <c r="B16" s="51" t="s">
        <v>72</v>
      </c>
      <c r="C16" s="63" t="n">
        <f aca="false">AVERAGEIFS(d_Support,d_Churned,"Yes")</f>
        <v>1.67441860465116</v>
      </c>
      <c r="D16" s="53" t="s">
        <v>73</v>
      </c>
      <c r="E16" s="53"/>
      <c r="F16" s="53"/>
      <c r="G16" s="53"/>
      <c r="K16" s="56" t="s">
        <v>74</v>
      </c>
      <c r="L16" s="57" t="n">
        <f aca="false">COUNTIFS(d_Plan,"Premium",d_Contract,"Annual")</f>
        <v>5</v>
      </c>
      <c r="M16" s="57" t="n">
        <f aca="false">COUNTIFS(d_Plan,"Premium",d_Contract,"Annual",d_Churned,"Yes")</f>
        <v>0</v>
      </c>
      <c r="N16" s="58" t="n">
        <f aca="false">IF(L16=0,0,M16/L16)</f>
        <v>0</v>
      </c>
      <c r="O16" s="59" t="n">
        <f aca="false">SUMIFS(d_Total,d_Plan,"Premium",d_Contract,"Annual",d_Churned,"Yes")</f>
        <v>0</v>
      </c>
      <c r="P16" s="60" t="n">
        <f aca="false">IF(L16&gt;=t_MinN,N16,-1)</f>
        <v>-1</v>
      </c>
      <c r="Q16" s="61" t="str">
        <f aca="false">IF(P16&lt;0,"–",RANK(P16,$P$8:$P$16))</f>
        <v>–</v>
      </c>
    </row>
    <row r="17" customFormat="false" ht="15" hidden="false" customHeight="false" outlineLevel="0" collapsed="false">
      <c r="B17" s="51" t="s">
        <v>75</v>
      </c>
      <c r="C17" s="63" t="n">
        <f aca="false">AVERAGEIFS(d_Support,d_Churned,"No")</f>
        <v>1.69158878504673</v>
      </c>
      <c r="D17" s="53"/>
      <c r="E17" s="53"/>
      <c r="F17" s="53"/>
      <c r="G17" s="53"/>
      <c r="K17" s="65" t="s">
        <v>76</v>
      </c>
      <c r="L17" s="66" t="str">
        <f aca="false">IF(MAX(P8:P16)&lt;0,"n/a",INDEX(K8:K16,MATCH(MAX(P8:P16),P8:P16,0)))</f>
        <v>Basic · Monthly</v>
      </c>
      <c r="M17" s="66"/>
      <c r="N17" s="67" t="n">
        <f aca="false">MAX(0,MAX(P8:P16))</f>
        <v>0.428571428571429</v>
      </c>
      <c r="O17" s="68" t="n">
        <f aca="false">IF(MAX(P8:P16)&lt;0,0,INDEX(L8:L16,MATCH(MAX(P8:P16),P8:P16,0)))</f>
        <v>35</v>
      </c>
      <c r="P17" s="69"/>
      <c r="Q17" s="69"/>
    </row>
    <row r="18" customFormat="false" ht="15" hidden="false" customHeight="true" outlineLevel="0" collapsed="false">
      <c r="B18" s="51" t="s">
        <v>77</v>
      </c>
      <c r="C18" s="64" t="n">
        <f aca="false">SUM(d_Monthly)</f>
        <v>1969300</v>
      </c>
      <c r="D18" s="53" t="s">
        <v>78</v>
      </c>
      <c r="E18" s="53"/>
      <c r="F18" s="53"/>
      <c r="G18" s="53"/>
      <c r="K18" s="70" t="s">
        <v>79</v>
      </c>
      <c r="L18" s="70"/>
      <c r="M18" s="70"/>
      <c r="N18" s="70"/>
      <c r="O18" s="70"/>
      <c r="P18" s="70"/>
      <c r="Q18" s="70"/>
    </row>
    <row r="19" customFormat="false" ht="15" hidden="false" customHeight="false" outlineLevel="0" collapsed="false">
      <c r="B19" s="51" t="s">
        <v>80</v>
      </c>
      <c r="C19" s="64" t="n">
        <f aca="false">SUMIFS(d_Monthly,d_Churned,"Yes")</f>
        <v>509600</v>
      </c>
      <c r="D19" s="53" t="s">
        <v>81</v>
      </c>
      <c r="E19" s="53"/>
      <c r="F19" s="53"/>
      <c r="G19" s="53"/>
      <c r="K19" s="70"/>
      <c r="L19" s="70"/>
      <c r="M19" s="70"/>
      <c r="N19" s="70"/>
      <c r="O19" s="70"/>
      <c r="P19" s="70"/>
      <c r="Q19" s="70"/>
    </row>
    <row r="20" customFormat="false" ht="15" hidden="false" customHeight="false" outlineLevel="0" collapsed="false">
      <c r="B20" s="51" t="s">
        <v>82</v>
      </c>
      <c r="C20" s="64" t="n">
        <f aca="false">SUMIFS(d_Total,d_Churned,"Yes")</f>
        <v>9919700</v>
      </c>
      <c r="D20" s="53" t="s">
        <v>83</v>
      </c>
      <c r="E20" s="53"/>
      <c r="F20" s="53"/>
      <c r="G20" s="53"/>
    </row>
    <row r="21" customFormat="false" ht="15" hidden="false" customHeight="false" outlineLevel="0" collapsed="false">
      <c r="K21" s="50" t="s">
        <v>84</v>
      </c>
      <c r="L21" s="50"/>
      <c r="M21" s="50"/>
      <c r="N21" s="50"/>
      <c r="O21" s="50"/>
      <c r="P21" s="50"/>
      <c r="Q21" s="50"/>
    </row>
    <row r="22" customFormat="false" ht="15" hidden="false" customHeight="false" outlineLevel="0" collapsed="false">
      <c r="B22" s="50" t="s">
        <v>85</v>
      </c>
      <c r="C22" s="50"/>
      <c r="D22" s="50"/>
      <c r="E22" s="50"/>
      <c r="F22" s="50"/>
      <c r="G22" s="50"/>
      <c r="H22" s="50"/>
      <c r="I22" s="50"/>
      <c r="K22" s="71" t="str">
        <f aca="false">"Contract type is the biggest lever: monthly customers churn at "&amp;TEXT(Analysis!$E$24,"0.0%")&amp;" versus "&amp;TEXT(Analysis!$E$26,"0.0%")&amp;" on annual contracts ("&amp;IFERROR(TEXT(Analysis!$E$24/Analysis!$E$26,"0.0")&amp;"x higher","n/a")&amp;")."</f>
        <v>Contract type is the biggest lever: monthly customers churn at 34.7% versus 14.7% on annual contracts (2.4x higher).</v>
      </c>
      <c r="L22" s="71"/>
      <c r="M22" s="71"/>
      <c r="N22" s="71"/>
      <c r="O22" s="71"/>
      <c r="P22" s="71"/>
      <c r="Q22" s="71"/>
    </row>
    <row r="23" customFormat="false" ht="15" hidden="false" customHeight="false" outlineLevel="0" collapsed="false">
      <c r="B23" s="54" t="s">
        <v>86</v>
      </c>
      <c r="C23" s="55" t="s">
        <v>47</v>
      </c>
      <c r="D23" s="55" t="s">
        <v>48</v>
      </c>
      <c r="E23" s="55" t="s">
        <v>49</v>
      </c>
      <c r="F23" s="55" t="s">
        <v>87</v>
      </c>
      <c r="G23" s="55" t="s">
        <v>88</v>
      </c>
      <c r="H23" s="55"/>
      <c r="I23" s="55"/>
      <c r="K23" s="71"/>
      <c r="L23" s="71"/>
      <c r="M23" s="71"/>
      <c r="N23" s="71"/>
      <c r="O23" s="71"/>
      <c r="P23" s="71"/>
      <c r="Q23" s="71"/>
    </row>
    <row r="24" customFormat="false" ht="15" hidden="false" customHeight="false" outlineLevel="0" collapsed="false">
      <c r="B24" s="72" t="s">
        <v>33</v>
      </c>
      <c r="C24" s="57" t="n">
        <f aca="false">COUNTIFS(d_Contract,$B24)</f>
        <v>75</v>
      </c>
      <c r="D24" s="57" t="n">
        <f aca="false">COUNTIFS(d_Contract,$B24,d_Churned,"Yes")</f>
        <v>26</v>
      </c>
      <c r="E24" s="58" t="n">
        <f aca="false">IF(C24=0,0,D24/C24)</f>
        <v>0.346666666666667</v>
      </c>
      <c r="F24" s="73" t="n">
        <f aca="false">(E24-m_Rate)*100</f>
        <v>6</v>
      </c>
      <c r="G24" s="74" t="n">
        <f aca="false">IF(m_Churned=0,0,D24/m_Churned)</f>
        <v>0.604651162790698</v>
      </c>
      <c r="H24" s="75"/>
      <c r="I24" s="75"/>
      <c r="K24" s="71" t="str">
        <f aca="false">"Hotspot: "&amp;Analysis!$L$17&amp;" customers churn at "&amp;TEXT(Analysis!$N$17,"0.0%")&amp;" (n = "&amp;Analysis!$O$17&amp;"), the first segment to target with retention offers."</f>
        <v>Hotspot: Basic · Monthly customers churn at 42.9% (n = 35), the first segment to target with retention offers.</v>
      </c>
      <c r="L24" s="71"/>
      <c r="M24" s="71"/>
      <c r="N24" s="71"/>
      <c r="O24" s="71"/>
      <c r="P24" s="71"/>
      <c r="Q24" s="71"/>
    </row>
    <row r="25" customFormat="false" ht="15" hidden="false" customHeight="false" outlineLevel="0" collapsed="false">
      <c r="B25" s="72" t="s">
        <v>34</v>
      </c>
      <c r="C25" s="57" t="n">
        <f aca="false">COUNTIFS(d_Contract,$B25)</f>
        <v>41</v>
      </c>
      <c r="D25" s="57" t="n">
        <f aca="false">COUNTIFS(d_Contract,$B25,d_Churned,"Yes")</f>
        <v>12</v>
      </c>
      <c r="E25" s="58" t="n">
        <f aca="false">IF(C25=0,0,D25/C25)</f>
        <v>0.292682926829268</v>
      </c>
      <c r="F25" s="73" t="n">
        <f aca="false">(E25-m_Rate)*100</f>
        <v>0.601626016260159</v>
      </c>
      <c r="G25" s="74" t="n">
        <f aca="false">IF(m_Churned=0,0,D25/m_Churned)</f>
        <v>0.27906976744186</v>
      </c>
      <c r="H25" s="75"/>
      <c r="I25" s="75"/>
      <c r="K25" s="71"/>
      <c r="L25" s="71"/>
      <c r="M25" s="71"/>
      <c r="N25" s="71"/>
      <c r="O25" s="71"/>
      <c r="P25" s="71"/>
      <c r="Q25" s="71"/>
    </row>
    <row r="26" customFormat="false" ht="15" hidden="false" customHeight="false" outlineLevel="0" collapsed="false">
      <c r="B26" s="72" t="s">
        <v>35</v>
      </c>
      <c r="C26" s="57" t="n">
        <f aca="false">COUNTIFS(d_Contract,$B26)</f>
        <v>34</v>
      </c>
      <c r="D26" s="57" t="n">
        <f aca="false">COUNTIFS(d_Contract,$B26,d_Churned,"Yes")</f>
        <v>5</v>
      </c>
      <c r="E26" s="58" t="n">
        <f aca="false">IF(C26=0,0,D26/C26)</f>
        <v>0.147058823529412</v>
      </c>
      <c r="F26" s="73" t="n">
        <f aca="false">(E26-m_Rate)*100</f>
        <v>-13.9607843137255</v>
      </c>
      <c r="G26" s="74" t="n">
        <f aca="false">IF(m_Churned=0,0,D26/m_Churned)</f>
        <v>0.116279069767442</v>
      </c>
      <c r="H26" s="75"/>
      <c r="I26" s="75"/>
      <c r="K26" s="71" t="str">
        <f aca="false">"Tenure shows two risk windows: the first 6 months ("&amp;TEXT(Analysis!$E$47,"0.0%")&amp;") and 25+ months ("&amp;TEXT(Analysis!$E$50,"0.0%")&amp;"), against "&amp;TEXT(Analysis!$E$49,"0.0%")&amp;" for months 13-24."</f>
        <v>Tenure shows two risk windows: the first 6 months (37.5%) and 25+ months (34.0%), against 21.4% for months 13-24.</v>
      </c>
      <c r="L26" s="71"/>
      <c r="M26" s="71"/>
      <c r="N26" s="71"/>
      <c r="O26" s="71"/>
      <c r="P26" s="71"/>
      <c r="Q26" s="71"/>
    </row>
    <row r="27" customFormat="false" ht="15" hidden="false" customHeight="false" outlineLevel="0" collapsed="false">
      <c r="B27" s="65" t="s">
        <v>89</v>
      </c>
      <c r="C27" s="76" t="n">
        <f aca="false">SUM(C24:C26)</f>
        <v>150</v>
      </c>
      <c r="D27" s="76" t="n">
        <f aca="false">SUM(D24:D26)</f>
        <v>43</v>
      </c>
      <c r="E27" s="67" t="n">
        <f aca="false">IF(C27=0,0,D27/C27)</f>
        <v>0.286666666666667</v>
      </c>
      <c r="F27" s="69"/>
      <c r="G27" s="67" t="n">
        <f aca="false">SUM(G24:G26)</f>
        <v>1</v>
      </c>
      <c r="H27" s="77" t="str">
        <f aca="false">IF(C27=m_N,"✓ ties","✗ check")</f>
        <v>✓ ties</v>
      </c>
      <c r="I27" s="77"/>
      <c r="K27" s="71"/>
      <c r="L27" s="71"/>
      <c r="M27" s="71"/>
      <c r="N27" s="71"/>
      <c r="O27" s="71"/>
      <c r="P27" s="71"/>
      <c r="Q27" s="71"/>
    </row>
    <row r="28" customFormat="false" ht="15" hidden="false" customHeight="false" outlineLevel="0" collapsed="false">
      <c r="K28" s="71" t="str">
        <f aca="false">"Basic plan churns at "&amp;TEXT(Analysis!$E$31,"0.0%")&amp;" versus "&amp;TEXT(Analysis!$E$33,"0.0%")&amp;" on Premium (Premium n = "&amp;Analysis!$C$33&amp;", so read the gap as directional)."</f>
        <v>Basic plan churns at 34.2% versus 19.2% on Premium (Premium n = 26, so read the gap as directional).</v>
      </c>
      <c r="L28" s="71"/>
      <c r="M28" s="71"/>
      <c r="N28" s="71"/>
      <c r="O28" s="71"/>
      <c r="P28" s="71"/>
      <c r="Q28" s="71"/>
    </row>
    <row r="29" customFormat="false" ht="15" hidden="false" customHeight="false" outlineLevel="0" collapsed="false">
      <c r="B29" s="50" t="s">
        <v>90</v>
      </c>
      <c r="C29" s="50"/>
      <c r="D29" s="50"/>
      <c r="E29" s="50"/>
      <c r="F29" s="50"/>
      <c r="G29" s="50"/>
      <c r="H29" s="50"/>
      <c r="I29" s="50"/>
      <c r="K29" s="71"/>
      <c r="L29" s="71"/>
      <c r="M29" s="71"/>
      <c r="N29" s="71"/>
      <c r="O29" s="71"/>
      <c r="P29" s="71"/>
      <c r="Q29" s="71"/>
    </row>
    <row r="30" customFormat="false" ht="15" hidden="false" customHeight="false" outlineLevel="0" collapsed="false">
      <c r="B30" s="54" t="s">
        <v>86</v>
      </c>
      <c r="C30" s="55" t="s">
        <v>47</v>
      </c>
      <c r="D30" s="55" t="s">
        <v>48</v>
      </c>
      <c r="E30" s="55" t="s">
        <v>49</v>
      </c>
      <c r="F30" s="55" t="s">
        <v>87</v>
      </c>
      <c r="G30" s="55" t="s">
        <v>88</v>
      </c>
      <c r="H30" s="55"/>
      <c r="I30" s="55"/>
      <c r="K30" s="71" t="str">
        <f aca="false">"Highest-churn region is "&amp;INDEX(B38:B42,MATCH(MAX(E38:E42),E38:E42,0))&amp;" at "&amp;TEXT(MAX(E38:E42),"0.0%")&amp;"; the lowest is "&amp;TEXT(MIN(E38:E42),"0.0%")&amp;"."</f>
        <v>Highest-churn region is Kano at 34.6%; the lowest is 23.1%.</v>
      </c>
      <c r="L30" s="71"/>
      <c r="M30" s="71"/>
      <c r="N30" s="71"/>
      <c r="O30" s="71"/>
      <c r="P30" s="71"/>
      <c r="Q30" s="71"/>
    </row>
    <row r="31" customFormat="false" ht="15" hidden="false" customHeight="false" outlineLevel="0" collapsed="false">
      <c r="B31" s="72" t="s">
        <v>30</v>
      </c>
      <c r="C31" s="57" t="n">
        <f aca="false">COUNTIFS(d_Plan,$B31)</f>
        <v>73</v>
      </c>
      <c r="D31" s="57" t="n">
        <f aca="false">COUNTIFS(d_Plan,$B31,d_Churned,"Yes")</f>
        <v>25</v>
      </c>
      <c r="E31" s="58" t="n">
        <f aca="false">IF(C31=0,0,D31/C31)</f>
        <v>0.342465753424658</v>
      </c>
      <c r="F31" s="73" t="n">
        <f aca="false">(E31-m_Rate)*100</f>
        <v>5.57990867579908</v>
      </c>
      <c r="G31" s="74" t="n">
        <f aca="false">IF(m_Churned=0,0,D31/m_Churned)</f>
        <v>0.581395348837209</v>
      </c>
      <c r="H31" s="75"/>
      <c r="I31" s="75"/>
      <c r="K31" s="71"/>
      <c r="L31" s="71"/>
      <c r="M31" s="71"/>
      <c r="N31" s="71"/>
      <c r="O31" s="71"/>
      <c r="P31" s="71"/>
      <c r="Q31" s="71"/>
    </row>
    <row r="32" customFormat="false" ht="15" hidden="false" customHeight="false" outlineLevel="0" collapsed="false">
      <c r="B32" s="72" t="s">
        <v>31</v>
      </c>
      <c r="C32" s="57" t="n">
        <f aca="false">COUNTIFS(d_Plan,$B32)</f>
        <v>51</v>
      </c>
      <c r="D32" s="57" t="n">
        <f aca="false">COUNTIFS(d_Plan,$B32,d_Churned,"Yes")</f>
        <v>13</v>
      </c>
      <c r="E32" s="58" t="n">
        <f aca="false">IF(C32=0,0,D32/C32)</f>
        <v>0.254901960784314</v>
      </c>
      <c r="F32" s="73" t="n">
        <f aca="false">(E32-m_Rate)*100</f>
        <v>-3.1764705882353</v>
      </c>
      <c r="G32" s="74" t="n">
        <f aca="false">IF(m_Churned=0,0,D32/m_Churned)</f>
        <v>0.302325581395349</v>
      </c>
      <c r="H32" s="75"/>
      <c r="I32" s="75"/>
      <c r="K32" s="71" t="str">
        <f aca="false">"Support volume shows no clear link to churn: rates sit between "&amp;TEXT(MIN($E$78:$E$82),"0.0%")&amp;" and "&amp;TEXT(MAX($E$78:$E$82),"0.0%")&amp;" for 0-4 contacts, and churned vs retained customers average "&amp;TEXT(m_SupCh,"0.0")&amp;" vs "&amp;TEXT(m_SupRet,"0.0")&amp;" contacts."</f>
        <v>Support volume shows no clear link to churn: rates sit between 21.7% and 34.6% for 0-4 contacts, and churned vs retained customers average 1.7 vs 1.7 contacts.</v>
      </c>
      <c r="L32" s="71"/>
      <c r="M32" s="71"/>
      <c r="N32" s="71"/>
      <c r="O32" s="71"/>
      <c r="P32" s="71"/>
      <c r="Q32" s="71"/>
    </row>
    <row r="33" customFormat="false" ht="15" hidden="false" customHeight="false" outlineLevel="0" collapsed="false">
      <c r="B33" s="72" t="s">
        <v>32</v>
      </c>
      <c r="C33" s="57" t="n">
        <f aca="false">COUNTIFS(d_Plan,$B33)</f>
        <v>26</v>
      </c>
      <c r="D33" s="57" t="n">
        <f aca="false">COUNTIFS(d_Plan,$B33,d_Churned,"Yes")</f>
        <v>5</v>
      </c>
      <c r="E33" s="58" t="n">
        <f aca="false">IF(C33=0,0,D33/C33)</f>
        <v>0.192307692307692</v>
      </c>
      <c r="F33" s="73" t="n">
        <f aca="false">(E33-m_Rate)*100</f>
        <v>-9.43589743589744</v>
      </c>
      <c r="G33" s="74" t="n">
        <f aca="false">IF(m_Churned=0,0,D33/m_Churned)</f>
        <v>0.116279069767442</v>
      </c>
      <c r="H33" s="75"/>
      <c r="I33" s="75"/>
      <c r="K33" s="71"/>
      <c r="L33" s="71"/>
      <c r="M33" s="71"/>
      <c r="N33" s="71"/>
      <c r="O33" s="71"/>
      <c r="P33" s="71"/>
      <c r="Q33" s="71"/>
    </row>
    <row r="34" customFormat="false" ht="15" hidden="false" customHeight="false" outlineLevel="0" collapsed="false">
      <c r="B34" s="65" t="s">
        <v>89</v>
      </c>
      <c r="C34" s="76" t="n">
        <f aca="false">SUM(C31:C33)</f>
        <v>150</v>
      </c>
      <c r="D34" s="76" t="n">
        <f aca="false">SUM(D31:D33)</f>
        <v>43</v>
      </c>
      <c r="E34" s="67" t="n">
        <f aca="false">IF(C34=0,0,D34/C34)</f>
        <v>0.286666666666667</v>
      </c>
      <c r="F34" s="69"/>
      <c r="G34" s="67" t="n">
        <f aca="false">SUM(G31:G33)</f>
        <v>1</v>
      </c>
      <c r="H34" s="77" t="str">
        <f aca="false">IF(C34=m_N,"✓ ties","✗ check")</f>
        <v>✓ ties</v>
      </c>
      <c r="I34" s="77"/>
      <c r="K34" s="71" t="str">
        <f aca="false">"Caution: with "&amp;m_N&amp;" customers the overall churn rate carries a margin of error of about ±"&amp;TEXT(m_MOE,"0.0")&amp;" pp, so gaps of a few customers between segments may be noise."</f>
        <v>Caution: with 150 customers the overall churn rate carries a margin of error of about ±7.2 pp, so gaps of a few customers between segments may be noise.</v>
      </c>
      <c r="L34" s="71"/>
      <c r="M34" s="71"/>
      <c r="N34" s="71"/>
      <c r="O34" s="71"/>
      <c r="P34" s="71"/>
      <c r="Q34" s="71"/>
    </row>
    <row r="35" customFormat="false" ht="15" hidden="false" customHeight="false" outlineLevel="0" collapsed="false">
      <c r="K35" s="71"/>
      <c r="L35" s="71"/>
      <c r="M35" s="71"/>
      <c r="N35" s="71"/>
      <c r="O35" s="71"/>
      <c r="P35" s="71"/>
      <c r="Q35" s="71"/>
    </row>
    <row r="36" customFormat="false" ht="15" hidden="false" customHeight="false" outlineLevel="0" collapsed="false">
      <c r="B36" s="50" t="s">
        <v>91</v>
      </c>
      <c r="C36" s="50"/>
      <c r="D36" s="50"/>
      <c r="E36" s="50"/>
      <c r="F36" s="50"/>
      <c r="G36" s="50"/>
      <c r="H36" s="50"/>
      <c r="I36" s="50"/>
    </row>
    <row r="37" customFormat="false" ht="15" hidden="false" customHeight="false" outlineLevel="0" collapsed="false">
      <c r="B37" s="54" t="s">
        <v>86</v>
      </c>
      <c r="C37" s="55" t="s">
        <v>47</v>
      </c>
      <c r="D37" s="55" t="s">
        <v>48</v>
      </c>
      <c r="E37" s="55" t="s">
        <v>49</v>
      </c>
      <c r="F37" s="55" t="s">
        <v>87</v>
      </c>
      <c r="G37" s="55" t="s">
        <v>88</v>
      </c>
      <c r="H37" s="55"/>
      <c r="I37" s="55"/>
      <c r="K37" s="50" t="s">
        <v>92</v>
      </c>
      <c r="L37" s="50"/>
      <c r="M37" s="50"/>
      <c r="N37" s="50"/>
      <c r="O37" s="50"/>
      <c r="P37" s="50"/>
      <c r="Q37" s="50"/>
    </row>
    <row r="38" customFormat="false" ht="15" hidden="false" customHeight="true" outlineLevel="0" collapsed="false">
      <c r="B38" s="72" t="s">
        <v>93</v>
      </c>
      <c r="C38" s="57" t="n">
        <f aca="false">COUNTIFS(d_Region,$B38)</f>
        <v>31</v>
      </c>
      <c r="D38" s="57" t="n">
        <f aca="false">COUNTIFS(d_Region,$B38,d_Churned,"Yes")</f>
        <v>10</v>
      </c>
      <c r="E38" s="58" t="n">
        <f aca="false">IF(C38=0,0,D38/C38)</f>
        <v>0.32258064516129</v>
      </c>
      <c r="F38" s="73" t="n">
        <f aca="false">(E38-m_Rate)*100</f>
        <v>3.59139784946236</v>
      </c>
      <c r="G38" s="74" t="n">
        <f aca="false">IF(m_Churned=0,0,D38/m_Churned)</f>
        <v>0.232558139534884</v>
      </c>
      <c r="H38" s="75"/>
      <c r="I38" s="75"/>
      <c r="K38" s="71" t="s">
        <v>94</v>
      </c>
      <c r="L38" s="71"/>
      <c r="M38" s="71"/>
      <c r="N38" s="71"/>
      <c r="O38" s="71"/>
      <c r="P38" s="71"/>
      <c r="Q38" s="71"/>
    </row>
    <row r="39" customFormat="false" ht="15" hidden="false" customHeight="false" outlineLevel="0" collapsed="false">
      <c r="B39" s="72" t="s">
        <v>95</v>
      </c>
      <c r="C39" s="57" t="n">
        <f aca="false">COUNTIFS(d_Region,$B39)</f>
        <v>31</v>
      </c>
      <c r="D39" s="57" t="n">
        <f aca="false">COUNTIFS(d_Region,$B39,d_Churned,"Yes")</f>
        <v>9</v>
      </c>
      <c r="E39" s="58" t="n">
        <f aca="false">IF(C39=0,0,D39/C39)</f>
        <v>0.290322580645161</v>
      </c>
      <c r="F39" s="73" t="n">
        <f aca="false">(E39-m_Rate)*100</f>
        <v>0.365591397849463</v>
      </c>
      <c r="G39" s="74" t="n">
        <f aca="false">IF(m_Churned=0,0,D39/m_Churned)</f>
        <v>0.209302325581395</v>
      </c>
      <c r="H39" s="75"/>
      <c r="I39" s="75"/>
      <c r="K39" s="71"/>
      <c r="L39" s="71"/>
      <c r="M39" s="71"/>
      <c r="N39" s="71"/>
      <c r="O39" s="71"/>
      <c r="P39" s="71"/>
      <c r="Q39" s="71"/>
    </row>
    <row r="40" customFormat="false" ht="15" hidden="false" customHeight="true" outlineLevel="0" collapsed="false">
      <c r="B40" s="72" t="s">
        <v>96</v>
      </c>
      <c r="C40" s="57" t="n">
        <f aca="false">COUNTIFS(d_Region,$B40)</f>
        <v>36</v>
      </c>
      <c r="D40" s="57" t="n">
        <f aca="false">COUNTIFS(d_Region,$B40,d_Churned,"Yes")</f>
        <v>9</v>
      </c>
      <c r="E40" s="58" t="n">
        <f aca="false">IF(C40=0,0,D40/C40)</f>
        <v>0.25</v>
      </c>
      <c r="F40" s="73" t="n">
        <f aca="false">(E40-m_Rate)*100</f>
        <v>-3.66666666666667</v>
      </c>
      <c r="G40" s="74" t="n">
        <f aca="false">IF(m_Churned=0,0,D40/m_Churned)</f>
        <v>0.209302325581395</v>
      </c>
      <c r="H40" s="75"/>
      <c r="I40" s="75"/>
      <c r="K40" s="71" t="s">
        <v>97</v>
      </c>
      <c r="L40" s="71"/>
      <c r="M40" s="71"/>
      <c r="N40" s="71"/>
      <c r="O40" s="71"/>
      <c r="P40" s="71"/>
      <c r="Q40" s="71"/>
    </row>
    <row r="41" customFormat="false" ht="15" hidden="false" customHeight="false" outlineLevel="0" collapsed="false">
      <c r="B41" s="72" t="s">
        <v>98</v>
      </c>
      <c r="C41" s="57" t="n">
        <f aca="false">COUNTIFS(d_Region,$B41)</f>
        <v>26</v>
      </c>
      <c r="D41" s="57" t="n">
        <f aca="false">COUNTIFS(d_Region,$B41,d_Churned,"Yes")</f>
        <v>9</v>
      </c>
      <c r="E41" s="58" t="n">
        <f aca="false">IF(C41=0,0,D41/C41)</f>
        <v>0.346153846153846</v>
      </c>
      <c r="F41" s="73" t="n">
        <f aca="false">(E41-m_Rate)*100</f>
        <v>5.94871794871795</v>
      </c>
      <c r="G41" s="74" t="n">
        <f aca="false">IF(m_Churned=0,0,D41/m_Churned)</f>
        <v>0.209302325581395</v>
      </c>
      <c r="H41" s="75"/>
      <c r="I41" s="75"/>
      <c r="K41" s="71"/>
      <c r="L41" s="71"/>
      <c r="M41" s="71"/>
      <c r="N41" s="71"/>
      <c r="O41" s="71"/>
      <c r="P41" s="71"/>
      <c r="Q41" s="71"/>
    </row>
    <row r="42" customFormat="false" ht="15" hidden="false" customHeight="true" outlineLevel="0" collapsed="false">
      <c r="B42" s="72" t="s">
        <v>99</v>
      </c>
      <c r="C42" s="57" t="n">
        <f aca="false">COUNTIFS(d_Region,$B42)</f>
        <v>26</v>
      </c>
      <c r="D42" s="57" t="n">
        <f aca="false">COUNTIFS(d_Region,$B42,d_Churned,"Yes")</f>
        <v>6</v>
      </c>
      <c r="E42" s="58" t="n">
        <f aca="false">IF(C42=0,0,D42/C42)</f>
        <v>0.230769230769231</v>
      </c>
      <c r="F42" s="73" t="n">
        <f aca="false">(E42-m_Rate)*100</f>
        <v>-5.58974358974359</v>
      </c>
      <c r="G42" s="74" t="n">
        <f aca="false">IF(m_Churned=0,0,D42/m_Churned)</f>
        <v>0.13953488372093</v>
      </c>
      <c r="H42" s="75"/>
      <c r="I42" s="75"/>
      <c r="K42" s="71" t="s">
        <v>100</v>
      </c>
      <c r="L42" s="71"/>
      <c r="M42" s="71"/>
      <c r="N42" s="71"/>
      <c r="O42" s="71"/>
      <c r="P42" s="71"/>
      <c r="Q42" s="71"/>
    </row>
    <row r="43" customFormat="false" ht="15" hidden="false" customHeight="false" outlineLevel="0" collapsed="false">
      <c r="B43" s="65" t="s">
        <v>89</v>
      </c>
      <c r="C43" s="76" t="n">
        <f aca="false">SUM(C38:C42)</f>
        <v>150</v>
      </c>
      <c r="D43" s="76" t="n">
        <f aca="false">SUM(D38:D42)</f>
        <v>43</v>
      </c>
      <c r="E43" s="67" t="n">
        <f aca="false">IF(C43=0,0,D43/C43)</f>
        <v>0.286666666666667</v>
      </c>
      <c r="F43" s="69"/>
      <c r="G43" s="67" t="n">
        <f aca="false">SUM(G38:G42)</f>
        <v>1</v>
      </c>
      <c r="H43" s="77" t="str">
        <f aca="false">IF(C43=m_N,"✓ ties","✗ check")</f>
        <v>✓ ties</v>
      </c>
      <c r="I43" s="77"/>
      <c r="K43" s="71"/>
      <c r="L43" s="71"/>
      <c r="M43" s="71"/>
      <c r="N43" s="71"/>
      <c r="O43" s="71"/>
      <c r="P43" s="71"/>
      <c r="Q43" s="71"/>
    </row>
    <row r="44" customFormat="false" ht="15" hidden="false" customHeight="true" outlineLevel="0" collapsed="false">
      <c r="K44" s="71" t="s">
        <v>101</v>
      </c>
      <c r="L44" s="71"/>
      <c r="M44" s="71"/>
      <c r="N44" s="71"/>
      <c r="O44" s="71"/>
      <c r="P44" s="71"/>
      <c r="Q44" s="71"/>
    </row>
    <row r="45" customFormat="false" ht="15" hidden="false" customHeight="false" outlineLevel="0" collapsed="false">
      <c r="B45" s="50" t="s">
        <v>102</v>
      </c>
      <c r="C45" s="50"/>
      <c r="D45" s="50"/>
      <c r="E45" s="50"/>
      <c r="F45" s="50"/>
      <c r="G45" s="50"/>
      <c r="H45" s="50"/>
      <c r="I45" s="50"/>
      <c r="K45" s="71"/>
      <c r="L45" s="71"/>
      <c r="M45" s="71"/>
      <c r="N45" s="71"/>
      <c r="O45" s="71"/>
      <c r="P45" s="71"/>
      <c r="Q45" s="71"/>
    </row>
    <row r="46" customFormat="false" ht="15" hidden="false" customHeight="true" outlineLevel="0" collapsed="false">
      <c r="B46" s="54" t="s">
        <v>86</v>
      </c>
      <c r="C46" s="55" t="s">
        <v>47</v>
      </c>
      <c r="D46" s="55" t="s">
        <v>48</v>
      </c>
      <c r="E46" s="55" t="s">
        <v>49</v>
      </c>
      <c r="F46" s="55" t="s">
        <v>87</v>
      </c>
      <c r="G46" s="55" t="s">
        <v>88</v>
      </c>
      <c r="H46" s="55" t="s">
        <v>103</v>
      </c>
      <c r="I46" s="55" t="s">
        <v>104</v>
      </c>
      <c r="K46" s="71" t="s">
        <v>105</v>
      </c>
      <c r="L46" s="71"/>
      <c r="M46" s="71"/>
      <c r="N46" s="71"/>
      <c r="O46" s="71"/>
      <c r="P46" s="71"/>
      <c r="Q46" s="71"/>
    </row>
    <row r="47" customFormat="false" ht="15" hidden="false" customHeight="false" outlineLevel="0" collapsed="false">
      <c r="B47" s="72" t="s">
        <v>106</v>
      </c>
      <c r="C47" s="57" t="n">
        <f aca="false">COUNTIFS(d_Tenure,"&gt;="&amp;$H47,d_Tenure,"&lt;="&amp;$I47)</f>
        <v>24</v>
      </c>
      <c r="D47" s="57" t="n">
        <f aca="false">COUNTIFS(d_Tenure,"&gt;="&amp;$H47,d_Tenure,"&lt;="&amp;$I47,d_Churned,"Yes")</f>
        <v>9</v>
      </c>
      <c r="E47" s="58" t="n">
        <f aca="false">IF(C47=0,0,D47/C47)</f>
        <v>0.375</v>
      </c>
      <c r="F47" s="73" t="n">
        <f aca="false">(E47-m_Rate)*100</f>
        <v>8.83333333333333</v>
      </c>
      <c r="G47" s="74" t="n">
        <f aca="false">IF(m_Churned=0,0,D47/m_Churned)</f>
        <v>0.209302325581395</v>
      </c>
      <c r="H47" s="78" t="n">
        <v>0</v>
      </c>
      <c r="I47" s="78" t="n">
        <v>6</v>
      </c>
      <c r="K47" s="71"/>
      <c r="L47" s="71"/>
      <c r="M47" s="71"/>
      <c r="N47" s="71"/>
      <c r="O47" s="71"/>
      <c r="P47" s="71"/>
      <c r="Q47" s="71"/>
    </row>
    <row r="48" customFormat="false" ht="15" hidden="false" customHeight="false" outlineLevel="0" collapsed="false">
      <c r="B48" s="72" t="s">
        <v>107</v>
      </c>
      <c r="C48" s="57" t="n">
        <f aca="false">COUNTIFS(d_Tenure,"&gt;="&amp;$H48,d_Tenure,"&lt;="&amp;$I48)</f>
        <v>20</v>
      </c>
      <c r="D48" s="57" t="n">
        <f aca="false">COUNTIFS(d_Tenure,"&gt;="&amp;$H48,d_Tenure,"&lt;="&amp;$I48,d_Churned,"Yes")</f>
        <v>5</v>
      </c>
      <c r="E48" s="58" t="n">
        <f aca="false">IF(C48=0,0,D48/C48)</f>
        <v>0.25</v>
      </c>
      <c r="F48" s="73" t="n">
        <f aca="false">(E48-m_Rate)*100</f>
        <v>-3.66666666666667</v>
      </c>
      <c r="G48" s="74" t="n">
        <f aca="false">IF(m_Churned=0,0,D48/m_Churned)</f>
        <v>0.116279069767442</v>
      </c>
      <c r="H48" s="78" t="n">
        <v>7</v>
      </c>
      <c r="I48" s="78" t="n">
        <v>12</v>
      </c>
    </row>
    <row r="49" customFormat="false" ht="15" hidden="false" customHeight="false" outlineLevel="0" collapsed="false">
      <c r="B49" s="72" t="s">
        <v>108</v>
      </c>
      <c r="C49" s="57" t="n">
        <f aca="false">COUNTIFS(d_Tenure,"&gt;="&amp;$H49,d_Tenure,"&lt;="&amp;$I49)</f>
        <v>56</v>
      </c>
      <c r="D49" s="57" t="n">
        <f aca="false">COUNTIFS(d_Tenure,"&gt;="&amp;$H49,d_Tenure,"&lt;="&amp;$I49,d_Churned,"Yes")</f>
        <v>12</v>
      </c>
      <c r="E49" s="58" t="n">
        <f aca="false">IF(C49=0,0,D49/C49)</f>
        <v>0.214285714285714</v>
      </c>
      <c r="F49" s="73" t="n">
        <f aca="false">(E49-m_Rate)*100</f>
        <v>-7.23809523809524</v>
      </c>
      <c r="G49" s="74" t="n">
        <f aca="false">IF(m_Churned=0,0,D49/m_Churned)</f>
        <v>0.27906976744186</v>
      </c>
      <c r="H49" s="78" t="n">
        <v>13</v>
      </c>
      <c r="I49" s="78" t="n">
        <v>24</v>
      </c>
      <c r="K49" s="50" t="s">
        <v>109</v>
      </c>
      <c r="L49" s="50"/>
      <c r="M49" s="50"/>
      <c r="N49" s="50"/>
      <c r="O49" s="50"/>
      <c r="P49" s="50"/>
      <c r="Q49" s="50"/>
    </row>
    <row r="50" customFormat="false" ht="15" hidden="false" customHeight="false" outlineLevel="0" collapsed="false">
      <c r="B50" s="72" t="s">
        <v>110</v>
      </c>
      <c r="C50" s="57" t="n">
        <f aca="false">COUNTIFS(d_Tenure,"&gt;="&amp;$H50,d_Tenure,"&lt;="&amp;$I50)</f>
        <v>50</v>
      </c>
      <c r="D50" s="57" t="n">
        <f aca="false">COUNTIFS(d_Tenure,"&gt;="&amp;$H50,d_Tenure,"&lt;="&amp;$I50,d_Churned,"Yes")</f>
        <v>17</v>
      </c>
      <c r="E50" s="58" t="n">
        <f aca="false">IF(C50=0,0,D50/C50)</f>
        <v>0.34</v>
      </c>
      <c r="F50" s="73" t="n">
        <f aca="false">(E50-m_Rate)*100</f>
        <v>5.33333333333333</v>
      </c>
      <c r="G50" s="74" t="n">
        <f aca="false">IF(m_Churned=0,0,D50/m_Churned)</f>
        <v>0.395348837209302</v>
      </c>
      <c r="H50" s="78" t="n">
        <v>25</v>
      </c>
      <c r="I50" s="78" t="n">
        <v>999</v>
      </c>
      <c r="K50" s="56" t="s">
        <v>111</v>
      </c>
      <c r="L50" s="56"/>
      <c r="M50" s="56"/>
      <c r="N50" s="79" t="n">
        <v>0.2</v>
      </c>
      <c r="O50" s="53" t="s">
        <v>112</v>
      </c>
      <c r="P50" s="53"/>
      <c r="Q50" s="53"/>
    </row>
    <row r="51" customFormat="false" ht="15" hidden="false" customHeight="false" outlineLevel="0" collapsed="false">
      <c r="B51" s="65" t="s">
        <v>89</v>
      </c>
      <c r="C51" s="76" t="n">
        <f aca="false">SUM(C47:C50)</f>
        <v>150</v>
      </c>
      <c r="D51" s="76" t="n">
        <f aca="false">SUM(D47:D50)</f>
        <v>43</v>
      </c>
      <c r="E51" s="67" t="n">
        <f aca="false">IF(C51=0,0,D51/C51)</f>
        <v>0.286666666666667</v>
      </c>
      <c r="F51" s="69"/>
      <c r="G51" s="67" t="n">
        <f aca="false">SUM(G47:G50)</f>
        <v>1</v>
      </c>
      <c r="H51" s="77" t="str">
        <f aca="false">IF(C51=m_N,"✓ ties","✗ check")</f>
        <v>✓ ties</v>
      </c>
      <c r="I51" s="77"/>
      <c r="K51" s="56" t="s">
        <v>113</v>
      </c>
      <c r="L51" s="56"/>
      <c r="M51" s="56"/>
      <c r="N51" s="52" t="n">
        <f aca="false">ROUND(m_Churned*wi_save,0)</f>
        <v>9</v>
      </c>
      <c r="O51" s="53"/>
      <c r="P51" s="53"/>
      <c r="Q51" s="53"/>
    </row>
    <row r="52" customFormat="false" ht="15" hidden="false" customHeight="false" outlineLevel="0" collapsed="false">
      <c r="K52" s="56" t="s">
        <v>114</v>
      </c>
      <c r="L52" s="56"/>
      <c r="M52" s="56"/>
      <c r="N52" s="64" t="n">
        <f aca="false">m_MRR*wi_save</f>
        <v>101920</v>
      </c>
      <c r="O52" s="53" t="s">
        <v>115</v>
      </c>
      <c r="P52" s="53"/>
      <c r="Q52" s="53"/>
    </row>
    <row r="53" customFormat="false" ht="15" hidden="false" customHeight="false" outlineLevel="0" collapsed="false">
      <c r="B53" s="50" t="s">
        <v>116</v>
      </c>
      <c r="C53" s="50"/>
      <c r="D53" s="50"/>
      <c r="E53" s="50"/>
      <c r="F53" s="50"/>
      <c r="G53" s="50"/>
      <c r="H53" s="50"/>
      <c r="I53" s="50"/>
      <c r="K53" s="56" t="s">
        <v>117</v>
      </c>
      <c r="L53" s="56"/>
      <c r="M53" s="56"/>
      <c r="N53" s="64" t="n">
        <f aca="false">wi_mrr*12</f>
        <v>1223040</v>
      </c>
      <c r="O53" s="53" t="s">
        <v>118</v>
      </c>
      <c r="P53" s="53"/>
      <c r="Q53" s="53"/>
    </row>
    <row r="54" customFormat="false" ht="15" hidden="false" customHeight="false" outlineLevel="0" collapsed="false">
      <c r="B54" s="54" t="s">
        <v>86</v>
      </c>
      <c r="C54" s="55" t="s">
        <v>47</v>
      </c>
      <c r="D54" s="55" t="s">
        <v>48</v>
      </c>
      <c r="E54" s="55" t="s">
        <v>49</v>
      </c>
      <c r="F54" s="55" t="s">
        <v>87</v>
      </c>
      <c r="G54" s="55" t="s">
        <v>88</v>
      </c>
      <c r="H54" s="55"/>
      <c r="I54" s="55"/>
    </row>
    <row r="55" customFormat="false" ht="15" hidden="false" customHeight="false" outlineLevel="0" collapsed="false">
      <c r="B55" s="72" t="s">
        <v>119</v>
      </c>
      <c r="C55" s="57" t="n">
        <f aca="false">COUNTIFS(d_AgeGroup,$B55)</f>
        <v>21</v>
      </c>
      <c r="D55" s="57" t="n">
        <f aca="false">COUNTIFS(d_AgeGroup,$B55,d_Churned,"Yes")</f>
        <v>6</v>
      </c>
      <c r="E55" s="58" t="n">
        <f aca="false">IF(C55=0,0,D55/C55)</f>
        <v>0.285714285714286</v>
      </c>
      <c r="F55" s="73" t="n">
        <f aca="false">(E55-m_Rate)*100</f>
        <v>-0.0952380952380982</v>
      </c>
      <c r="G55" s="74" t="n">
        <f aca="false">IF(m_Churned=0,0,D55/m_Churned)</f>
        <v>0.13953488372093</v>
      </c>
      <c r="H55" s="75"/>
      <c r="I55" s="75"/>
      <c r="K55" s="50" t="s">
        <v>120</v>
      </c>
      <c r="L55" s="50"/>
      <c r="M55" s="50"/>
      <c r="N55" s="50"/>
      <c r="O55" s="50"/>
      <c r="P55" s="50"/>
      <c r="Q55" s="50"/>
    </row>
    <row r="56" customFormat="false" ht="15" hidden="false" customHeight="true" outlineLevel="0" collapsed="false">
      <c r="B56" s="72" t="s">
        <v>121</v>
      </c>
      <c r="C56" s="57" t="n">
        <f aca="false">COUNTIFS(d_AgeGroup,$B56)</f>
        <v>29</v>
      </c>
      <c r="D56" s="57" t="n">
        <f aca="false">COUNTIFS(d_AgeGroup,$B56,d_Churned,"Yes")</f>
        <v>9</v>
      </c>
      <c r="E56" s="58" t="n">
        <f aca="false">IF(C56=0,0,D56/C56)</f>
        <v>0.310344827586207</v>
      </c>
      <c r="F56" s="73" t="n">
        <f aca="false">(E56-m_Rate)*100</f>
        <v>2.36781609195402</v>
      </c>
      <c r="G56" s="74" t="n">
        <f aca="false">IF(m_Churned=0,0,D56/m_Churned)</f>
        <v>0.209302325581395</v>
      </c>
      <c r="H56" s="75"/>
      <c r="I56" s="75"/>
      <c r="K56" s="80" t="s">
        <v>122</v>
      </c>
      <c r="L56" s="80"/>
      <c r="M56" s="80"/>
      <c r="N56" s="80"/>
      <c r="O56" s="80"/>
      <c r="P56" s="80"/>
      <c r="Q56" s="80"/>
    </row>
    <row r="57" customFormat="false" ht="15" hidden="false" customHeight="false" outlineLevel="0" collapsed="false">
      <c r="B57" s="72" t="s">
        <v>123</v>
      </c>
      <c r="C57" s="57" t="n">
        <f aca="false">COUNTIFS(d_AgeGroup,$B57)</f>
        <v>42</v>
      </c>
      <c r="D57" s="57" t="n">
        <f aca="false">COUNTIFS(d_AgeGroup,$B57,d_Churned,"Yes")</f>
        <v>16</v>
      </c>
      <c r="E57" s="58" t="n">
        <f aca="false">IF(C57=0,0,D57/C57)</f>
        <v>0.380952380952381</v>
      </c>
      <c r="F57" s="73" t="n">
        <f aca="false">(E57-m_Rate)*100</f>
        <v>9.42857142857143</v>
      </c>
      <c r="G57" s="74" t="n">
        <f aca="false">IF(m_Churned=0,0,D57/m_Churned)</f>
        <v>0.372093023255814</v>
      </c>
      <c r="H57" s="75"/>
      <c r="I57" s="75"/>
      <c r="K57" s="80"/>
      <c r="L57" s="80"/>
      <c r="M57" s="80"/>
      <c r="N57" s="80"/>
      <c r="O57" s="80"/>
      <c r="P57" s="80"/>
      <c r="Q57" s="80"/>
    </row>
    <row r="58" customFormat="false" ht="15" hidden="false" customHeight="true" outlineLevel="0" collapsed="false">
      <c r="B58" s="72" t="s">
        <v>124</v>
      </c>
      <c r="C58" s="57" t="n">
        <f aca="false">COUNTIFS(d_AgeGroup,$B58)</f>
        <v>33</v>
      </c>
      <c r="D58" s="57" t="n">
        <f aca="false">COUNTIFS(d_AgeGroup,$B58,d_Churned,"Yes")</f>
        <v>6</v>
      </c>
      <c r="E58" s="58" t="n">
        <f aca="false">IF(C58=0,0,D58/C58)</f>
        <v>0.181818181818182</v>
      </c>
      <c r="F58" s="73" t="n">
        <f aca="false">(E58-m_Rate)*100</f>
        <v>-10.4848484848485</v>
      </c>
      <c r="G58" s="74" t="n">
        <f aca="false">IF(m_Churned=0,0,D58/m_Churned)</f>
        <v>0.13953488372093</v>
      </c>
      <c r="H58" s="75"/>
      <c r="I58" s="75"/>
      <c r="K58" s="80" t="s">
        <v>125</v>
      </c>
      <c r="L58" s="80"/>
      <c r="M58" s="80"/>
      <c r="N58" s="80"/>
      <c r="O58" s="80"/>
      <c r="P58" s="80"/>
      <c r="Q58" s="80"/>
    </row>
    <row r="59" customFormat="false" ht="15" hidden="false" customHeight="false" outlineLevel="0" collapsed="false">
      <c r="B59" s="72" t="s">
        <v>126</v>
      </c>
      <c r="C59" s="57" t="n">
        <f aca="false">COUNTIFS(d_AgeGroup,$B59)</f>
        <v>25</v>
      </c>
      <c r="D59" s="57" t="n">
        <f aca="false">COUNTIFS(d_AgeGroup,$B59,d_Churned,"Yes")</f>
        <v>6</v>
      </c>
      <c r="E59" s="58" t="n">
        <f aca="false">IF(C59=0,0,D59/C59)</f>
        <v>0.24</v>
      </c>
      <c r="F59" s="73" t="n">
        <f aca="false">(E59-m_Rate)*100</f>
        <v>-4.66666666666667</v>
      </c>
      <c r="G59" s="74" t="n">
        <f aca="false">IF(m_Churned=0,0,D59/m_Churned)</f>
        <v>0.13953488372093</v>
      </c>
      <c r="H59" s="75"/>
      <c r="I59" s="75"/>
      <c r="K59" s="80"/>
      <c r="L59" s="80"/>
      <c r="M59" s="80"/>
      <c r="N59" s="80"/>
      <c r="O59" s="80"/>
      <c r="P59" s="80"/>
      <c r="Q59" s="80"/>
    </row>
    <row r="60" customFormat="false" ht="15" hidden="false" customHeight="true" outlineLevel="0" collapsed="false">
      <c r="B60" s="65" t="s">
        <v>89</v>
      </c>
      <c r="C60" s="76" t="n">
        <f aca="false">SUM(C55:C59)</f>
        <v>150</v>
      </c>
      <c r="D60" s="76" t="n">
        <f aca="false">SUM(D55:D59)</f>
        <v>43</v>
      </c>
      <c r="E60" s="67" t="n">
        <f aca="false">IF(C60=0,0,D60/C60)</f>
        <v>0.286666666666667</v>
      </c>
      <c r="F60" s="69"/>
      <c r="G60" s="67" t="n">
        <f aca="false">SUM(G55:G59)</f>
        <v>1</v>
      </c>
      <c r="H60" s="77" t="str">
        <f aca="false">IF(C60=m_N,"✓ ties","✗ check")</f>
        <v>✓ ties</v>
      </c>
      <c r="I60" s="77"/>
      <c r="K60" s="80" t="s">
        <v>127</v>
      </c>
      <c r="L60" s="80"/>
      <c r="M60" s="80"/>
      <c r="N60" s="80"/>
      <c r="O60" s="80"/>
      <c r="P60" s="80"/>
      <c r="Q60" s="80"/>
    </row>
    <row r="61" customFormat="false" ht="15" hidden="false" customHeight="false" outlineLevel="0" collapsed="false">
      <c r="K61" s="80"/>
      <c r="L61" s="80"/>
      <c r="M61" s="80"/>
      <c r="N61" s="80"/>
      <c r="O61" s="80"/>
      <c r="P61" s="80"/>
      <c r="Q61" s="80"/>
    </row>
    <row r="62" customFormat="false" ht="15" hidden="false" customHeight="false" outlineLevel="0" collapsed="false">
      <c r="B62" s="50" t="s">
        <v>128</v>
      </c>
      <c r="C62" s="50"/>
      <c r="D62" s="50"/>
      <c r="E62" s="50"/>
      <c r="F62" s="50"/>
      <c r="G62" s="50"/>
      <c r="H62" s="50"/>
      <c r="I62" s="50"/>
    </row>
    <row r="63" customFormat="false" ht="15" hidden="false" customHeight="false" outlineLevel="0" collapsed="false">
      <c r="B63" s="54" t="s">
        <v>86</v>
      </c>
      <c r="C63" s="55" t="s">
        <v>47</v>
      </c>
      <c r="D63" s="55" t="s">
        <v>48</v>
      </c>
      <c r="E63" s="55" t="s">
        <v>49</v>
      </c>
      <c r="F63" s="55" t="s">
        <v>87</v>
      </c>
      <c r="G63" s="55" t="s">
        <v>88</v>
      </c>
      <c r="H63" s="55"/>
      <c r="I63" s="55"/>
    </row>
    <row r="64" customFormat="false" ht="15" hidden="false" customHeight="false" outlineLevel="0" collapsed="false">
      <c r="B64" s="72" t="s">
        <v>129</v>
      </c>
      <c r="C64" s="57" t="n">
        <f aca="false">COUNTIFS(d_Gender,$B64)</f>
        <v>89</v>
      </c>
      <c r="D64" s="57" t="n">
        <f aca="false">COUNTIFS(d_Gender,$B64,d_Churned,"Yes")</f>
        <v>28</v>
      </c>
      <c r="E64" s="58" t="n">
        <f aca="false">IF(C64=0,0,D64/C64)</f>
        <v>0.314606741573034</v>
      </c>
      <c r="F64" s="73" t="n">
        <f aca="false">(E64-m_Rate)*100</f>
        <v>2.7940074906367</v>
      </c>
      <c r="G64" s="74" t="n">
        <f aca="false">IF(m_Churned=0,0,D64/m_Churned)</f>
        <v>0.651162790697675</v>
      </c>
      <c r="H64" s="75"/>
      <c r="I64" s="75"/>
    </row>
    <row r="65" customFormat="false" ht="15" hidden="false" customHeight="false" outlineLevel="0" collapsed="false">
      <c r="B65" s="72" t="s">
        <v>130</v>
      </c>
      <c r="C65" s="57" t="n">
        <f aca="false">COUNTIFS(d_Gender,$B65)</f>
        <v>61</v>
      </c>
      <c r="D65" s="57" t="n">
        <f aca="false">COUNTIFS(d_Gender,$B65,d_Churned,"Yes")</f>
        <v>15</v>
      </c>
      <c r="E65" s="58" t="n">
        <f aca="false">IF(C65=0,0,D65/C65)</f>
        <v>0.245901639344262</v>
      </c>
      <c r="F65" s="73" t="n">
        <f aca="false">(E65-m_Rate)*100</f>
        <v>-4.07650273224044</v>
      </c>
      <c r="G65" s="74" t="n">
        <f aca="false">IF(m_Churned=0,0,D65/m_Churned)</f>
        <v>0.348837209302326</v>
      </c>
      <c r="H65" s="75"/>
      <c r="I65" s="75"/>
    </row>
    <row r="66" customFormat="false" ht="15" hidden="false" customHeight="false" outlineLevel="0" collapsed="false">
      <c r="B66" s="65" t="s">
        <v>89</v>
      </c>
      <c r="C66" s="76" t="n">
        <f aca="false">SUM(C64:C65)</f>
        <v>150</v>
      </c>
      <c r="D66" s="76" t="n">
        <f aca="false">SUM(D64:D65)</f>
        <v>43</v>
      </c>
      <c r="E66" s="67" t="n">
        <f aca="false">IF(C66=0,0,D66/C66)</f>
        <v>0.286666666666667</v>
      </c>
      <c r="F66" s="69"/>
      <c r="G66" s="67" t="n">
        <f aca="false">SUM(G64:G65)</f>
        <v>1</v>
      </c>
      <c r="H66" s="77" t="str">
        <f aca="false">IF(C66=m_N,"✓ ties","✗ check")</f>
        <v>✓ ties</v>
      </c>
      <c r="I66" s="77"/>
    </row>
    <row r="68" customFormat="false" ht="15" hidden="false" customHeight="false" outlineLevel="0" collapsed="false">
      <c r="B68" s="50" t="s">
        <v>131</v>
      </c>
      <c r="C68" s="50"/>
      <c r="D68" s="50"/>
      <c r="E68" s="50"/>
      <c r="F68" s="50"/>
      <c r="G68" s="50"/>
      <c r="H68" s="50"/>
      <c r="I68" s="50"/>
    </row>
    <row r="69" customFormat="false" ht="15" hidden="false" customHeight="false" outlineLevel="0" collapsed="false">
      <c r="B69" s="54" t="s">
        <v>86</v>
      </c>
      <c r="C69" s="55" t="s">
        <v>47</v>
      </c>
      <c r="D69" s="55" t="s">
        <v>48</v>
      </c>
      <c r="E69" s="55" t="s">
        <v>49</v>
      </c>
      <c r="F69" s="55" t="s">
        <v>87</v>
      </c>
      <c r="G69" s="55" t="s">
        <v>88</v>
      </c>
      <c r="H69" s="55"/>
      <c r="I69" s="55"/>
    </row>
    <row r="70" customFormat="false" ht="15" hidden="false" customHeight="false" outlineLevel="0" collapsed="false">
      <c r="B70" s="72" t="s">
        <v>132</v>
      </c>
      <c r="C70" s="57" t="n">
        <f aca="false">COUNTIFS(d_Payment,$B70)</f>
        <v>30</v>
      </c>
      <c r="D70" s="57" t="n">
        <f aca="false">COUNTIFS(d_Payment,$B70,d_Churned,"Yes")</f>
        <v>10</v>
      </c>
      <c r="E70" s="58" t="n">
        <f aca="false">IF(C70=0,0,D70/C70)</f>
        <v>0.333333333333333</v>
      </c>
      <c r="F70" s="73" t="n">
        <f aca="false">(E70-m_Rate)*100</f>
        <v>4.66666666666666</v>
      </c>
      <c r="G70" s="74" t="n">
        <f aca="false">IF(m_Churned=0,0,D70/m_Churned)</f>
        <v>0.232558139534884</v>
      </c>
      <c r="H70" s="75"/>
      <c r="I70" s="75"/>
    </row>
    <row r="71" customFormat="false" ht="15" hidden="false" customHeight="false" outlineLevel="0" collapsed="false">
      <c r="B71" s="72" t="s">
        <v>133</v>
      </c>
      <c r="C71" s="57" t="n">
        <f aca="false">COUNTIFS(d_Payment,$B71)</f>
        <v>41</v>
      </c>
      <c r="D71" s="57" t="n">
        <f aca="false">COUNTIFS(d_Payment,$B71,d_Churned,"Yes")</f>
        <v>11</v>
      </c>
      <c r="E71" s="58" t="n">
        <f aca="false">IF(C71=0,0,D71/C71)</f>
        <v>0.268292682926829</v>
      </c>
      <c r="F71" s="73" t="n">
        <f aca="false">(E71-m_Rate)*100</f>
        <v>-1.83739837398374</v>
      </c>
      <c r="G71" s="74" t="n">
        <f aca="false">IF(m_Churned=0,0,D71/m_Churned)</f>
        <v>0.255813953488372</v>
      </c>
      <c r="H71" s="75"/>
      <c r="I71" s="75"/>
    </row>
    <row r="72" customFormat="false" ht="15" hidden="false" customHeight="false" outlineLevel="0" collapsed="false">
      <c r="B72" s="72" t="s">
        <v>134</v>
      </c>
      <c r="C72" s="57" t="n">
        <f aca="false">COUNTIFS(d_Payment,$B72)</f>
        <v>43</v>
      </c>
      <c r="D72" s="57" t="n">
        <f aca="false">COUNTIFS(d_Payment,$B72,d_Churned,"Yes")</f>
        <v>14</v>
      </c>
      <c r="E72" s="58" t="n">
        <f aca="false">IF(C72=0,0,D72/C72)</f>
        <v>0.325581395348837</v>
      </c>
      <c r="F72" s="73" t="n">
        <f aca="false">(E72-m_Rate)*100</f>
        <v>3.89147286821706</v>
      </c>
      <c r="G72" s="74" t="n">
        <f aca="false">IF(m_Churned=0,0,D72/m_Churned)</f>
        <v>0.325581395348837</v>
      </c>
      <c r="H72" s="75"/>
      <c r="I72" s="75"/>
    </row>
    <row r="73" customFormat="false" ht="15" hidden="false" customHeight="false" outlineLevel="0" collapsed="false">
      <c r="B73" s="72" t="s">
        <v>135</v>
      </c>
      <c r="C73" s="57" t="n">
        <f aca="false">COUNTIFS(d_Payment,$B73)</f>
        <v>36</v>
      </c>
      <c r="D73" s="57" t="n">
        <f aca="false">COUNTIFS(d_Payment,$B73,d_Churned,"Yes")</f>
        <v>8</v>
      </c>
      <c r="E73" s="58" t="n">
        <f aca="false">IF(C73=0,0,D73/C73)</f>
        <v>0.222222222222222</v>
      </c>
      <c r="F73" s="73" t="n">
        <f aca="false">(E73-m_Rate)*100</f>
        <v>-6.44444444444445</v>
      </c>
      <c r="G73" s="74" t="n">
        <f aca="false">IF(m_Churned=0,0,D73/m_Churned)</f>
        <v>0.186046511627907</v>
      </c>
      <c r="H73" s="75"/>
      <c r="I73" s="75"/>
    </row>
    <row r="74" customFormat="false" ht="15" hidden="false" customHeight="false" outlineLevel="0" collapsed="false">
      <c r="B74" s="65" t="s">
        <v>89</v>
      </c>
      <c r="C74" s="76" t="n">
        <f aca="false">SUM(C70:C73)</f>
        <v>150</v>
      </c>
      <c r="D74" s="76" t="n">
        <f aca="false">SUM(D70:D73)</f>
        <v>43</v>
      </c>
      <c r="E74" s="67" t="n">
        <f aca="false">IF(C74=0,0,D74/C74)</f>
        <v>0.286666666666667</v>
      </c>
      <c r="F74" s="69"/>
      <c r="G74" s="67" t="n">
        <f aca="false">SUM(G70:G73)</f>
        <v>1</v>
      </c>
      <c r="H74" s="77" t="str">
        <f aca="false">IF(C74=m_N,"✓ ties","✗ check")</f>
        <v>✓ ties</v>
      </c>
      <c r="I74" s="77"/>
    </row>
    <row r="76" customFormat="false" ht="15" hidden="false" customHeight="false" outlineLevel="0" collapsed="false">
      <c r="B76" s="50" t="s">
        <v>136</v>
      </c>
      <c r="C76" s="50"/>
      <c r="D76" s="50"/>
      <c r="E76" s="50"/>
      <c r="F76" s="50"/>
      <c r="G76" s="50"/>
      <c r="H76" s="50"/>
      <c r="I76" s="50"/>
    </row>
    <row r="77" customFormat="false" ht="15" hidden="false" customHeight="false" outlineLevel="0" collapsed="false">
      <c r="B77" s="54" t="s">
        <v>86</v>
      </c>
      <c r="C77" s="55" t="s">
        <v>47</v>
      </c>
      <c r="D77" s="55" t="s">
        <v>48</v>
      </c>
      <c r="E77" s="55" t="s">
        <v>49</v>
      </c>
      <c r="F77" s="55" t="s">
        <v>87</v>
      </c>
      <c r="G77" s="55" t="s">
        <v>88</v>
      </c>
      <c r="H77" s="55" t="s">
        <v>103</v>
      </c>
      <c r="I77" s="55" t="s">
        <v>104</v>
      </c>
    </row>
    <row r="78" customFormat="false" ht="15" hidden="false" customHeight="false" outlineLevel="0" collapsed="false">
      <c r="B78" s="72" t="s">
        <v>137</v>
      </c>
      <c r="C78" s="57" t="n">
        <f aca="false">COUNTIFS(d_Support,"&gt;="&amp;$H78,d_Support,"&lt;="&amp;$I78)</f>
        <v>43</v>
      </c>
      <c r="D78" s="57" t="n">
        <f aca="false">COUNTIFS(d_Support,"&gt;="&amp;$H78,d_Support,"&lt;="&amp;$I78,d_Churned,"Yes")</f>
        <v>14</v>
      </c>
      <c r="E78" s="58" t="n">
        <f aca="false">IF(C78=0,0,D78/C78)</f>
        <v>0.325581395348837</v>
      </c>
      <c r="F78" s="73" t="n">
        <f aca="false">(E78-m_Rate)*100</f>
        <v>3.89147286821706</v>
      </c>
      <c r="G78" s="74" t="n">
        <f aca="false">IF(m_Churned=0,0,D78/m_Churned)</f>
        <v>0.325581395348837</v>
      </c>
      <c r="H78" s="78" t="n">
        <v>0</v>
      </c>
      <c r="I78" s="78" t="n">
        <v>0</v>
      </c>
    </row>
    <row r="79" customFormat="false" ht="15" hidden="false" customHeight="false" outlineLevel="0" collapsed="false">
      <c r="B79" s="72" t="s">
        <v>138</v>
      </c>
      <c r="C79" s="57" t="n">
        <f aca="false">COUNTIFS(d_Support,"&gt;="&amp;$H79,d_Support,"&lt;="&amp;$I79)</f>
        <v>35</v>
      </c>
      <c r="D79" s="57" t="n">
        <f aca="false">COUNTIFS(d_Support,"&gt;="&amp;$H79,d_Support,"&lt;="&amp;$I79,d_Churned,"Yes")</f>
        <v>8</v>
      </c>
      <c r="E79" s="58" t="n">
        <f aca="false">IF(C79=0,0,D79/C79)</f>
        <v>0.228571428571429</v>
      </c>
      <c r="F79" s="73" t="n">
        <f aca="false">(E79-m_Rate)*100</f>
        <v>-5.80952380952381</v>
      </c>
      <c r="G79" s="74" t="n">
        <f aca="false">IF(m_Churned=0,0,D79/m_Churned)</f>
        <v>0.186046511627907</v>
      </c>
      <c r="H79" s="78" t="n">
        <v>1</v>
      </c>
      <c r="I79" s="78" t="n">
        <v>1</v>
      </c>
    </row>
    <row r="80" customFormat="false" ht="15" hidden="false" customHeight="false" outlineLevel="0" collapsed="false">
      <c r="B80" s="72" t="s">
        <v>139</v>
      </c>
      <c r="C80" s="57" t="n">
        <f aca="false">COUNTIFS(d_Support,"&gt;="&amp;$H80,d_Support,"&lt;="&amp;$I80)</f>
        <v>26</v>
      </c>
      <c r="D80" s="57" t="n">
        <f aca="false">COUNTIFS(d_Support,"&gt;="&amp;$H80,d_Support,"&lt;="&amp;$I80,d_Churned,"Yes")</f>
        <v>9</v>
      </c>
      <c r="E80" s="58" t="n">
        <f aca="false">IF(C80=0,0,D80/C80)</f>
        <v>0.346153846153846</v>
      </c>
      <c r="F80" s="73" t="n">
        <f aca="false">(E80-m_Rate)*100</f>
        <v>5.94871794871795</v>
      </c>
      <c r="G80" s="74" t="n">
        <f aca="false">IF(m_Churned=0,0,D80/m_Churned)</f>
        <v>0.209302325581395</v>
      </c>
      <c r="H80" s="78" t="n">
        <v>2</v>
      </c>
      <c r="I80" s="78" t="n">
        <v>2</v>
      </c>
    </row>
    <row r="81" customFormat="false" ht="15" hidden="false" customHeight="false" outlineLevel="0" collapsed="false">
      <c r="B81" s="72" t="s">
        <v>140</v>
      </c>
      <c r="C81" s="57" t="n">
        <f aca="false">COUNTIFS(d_Support,"&gt;="&amp;$H81,d_Support,"&lt;="&amp;$I81)</f>
        <v>23</v>
      </c>
      <c r="D81" s="57" t="n">
        <f aca="false">COUNTIFS(d_Support,"&gt;="&amp;$H81,d_Support,"&lt;="&amp;$I81,d_Churned,"Yes")</f>
        <v>5</v>
      </c>
      <c r="E81" s="58" t="n">
        <f aca="false">IF(C81=0,0,D81/C81)</f>
        <v>0.217391304347826</v>
      </c>
      <c r="F81" s="73" t="n">
        <f aca="false">(E81-m_Rate)*100</f>
        <v>-6.92753623188406</v>
      </c>
      <c r="G81" s="74" t="n">
        <f aca="false">IF(m_Churned=0,0,D81/m_Churned)</f>
        <v>0.116279069767442</v>
      </c>
      <c r="H81" s="78" t="n">
        <v>3</v>
      </c>
      <c r="I81" s="78" t="n">
        <v>3</v>
      </c>
    </row>
    <row r="82" customFormat="false" ht="15" hidden="false" customHeight="false" outlineLevel="0" collapsed="false">
      <c r="B82" s="72" t="s">
        <v>141</v>
      </c>
      <c r="C82" s="57" t="n">
        <f aca="false">COUNTIFS(d_Support,"&gt;="&amp;$H82,d_Support,"&lt;="&amp;$I82)</f>
        <v>19</v>
      </c>
      <c r="D82" s="57" t="n">
        <f aca="false">COUNTIFS(d_Support,"&gt;="&amp;$H82,d_Support,"&lt;="&amp;$I82,d_Churned,"Yes")</f>
        <v>5</v>
      </c>
      <c r="E82" s="58" t="n">
        <f aca="false">IF(C82=0,0,D82/C82)</f>
        <v>0.263157894736842</v>
      </c>
      <c r="F82" s="73" t="n">
        <f aca="false">(E82-m_Rate)*100</f>
        <v>-2.35087719298246</v>
      </c>
      <c r="G82" s="74" t="n">
        <f aca="false">IF(m_Churned=0,0,D82/m_Churned)</f>
        <v>0.116279069767442</v>
      </c>
      <c r="H82" s="78" t="n">
        <v>4</v>
      </c>
      <c r="I82" s="78" t="n">
        <v>4</v>
      </c>
    </row>
    <row r="83" customFormat="false" ht="15" hidden="false" customHeight="false" outlineLevel="0" collapsed="false">
      <c r="B83" s="72" t="s">
        <v>142</v>
      </c>
      <c r="C83" s="57" t="n">
        <f aca="false">COUNTIFS(d_Support,"&gt;="&amp;$H83,d_Support,"&lt;="&amp;$I83)</f>
        <v>4</v>
      </c>
      <c r="D83" s="57" t="n">
        <f aca="false">COUNTIFS(d_Support,"&gt;="&amp;$H83,d_Support,"&lt;="&amp;$I83,d_Churned,"Yes")</f>
        <v>2</v>
      </c>
      <c r="E83" s="58" t="n">
        <f aca="false">IF(C83=0,0,D83/C83)</f>
        <v>0.5</v>
      </c>
      <c r="F83" s="73" t="n">
        <f aca="false">(E83-m_Rate)*100</f>
        <v>21.3333333333333</v>
      </c>
      <c r="G83" s="74" t="n">
        <f aca="false">IF(m_Churned=0,0,D83/m_Churned)</f>
        <v>0.0465116279069767</v>
      </c>
      <c r="H83" s="78" t="n">
        <v>5</v>
      </c>
      <c r="I83" s="78" t="n">
        <v>99</v>
      </c>
    </row>
    <row r="84" customFormat="false" ht="15" hidden="false" customHeight="false" outlineLevel="0" collapsed="false">
      <c r="B84" s="65" t="s">
        <v>89</v>
      </c>
      <c r="C84" s="76" t="n">
        <f aca="false">SUM(C78:C83)</f>
        <v>150</v>
      </c>
      <c r="D84" s="76" t="n">
        <f aca="false">SUM(D78:D83)</f>
        <v>43</v>
      </c>
      <c r="E84" s="67" t="n">
        <f aca="false">IF(C84=0,0,D84/C84)</f>
        <v>0.286666666666667</v>
      </c>
      <c r="F84" s="69"/>
      <c r="G84" s="67" t="n">
        <f aca="false">SUM(G78:G83)</f>
        <v>1</v>
      </c>
      <c r="H84" s="77" t="str">
        <f aca="false">IF(C84=m_N,"✓ ties","✗ check")</f>
        <v>✓ ties</v>
      </c>
      <c r="I84" s="77"/>
    </row>
  </sheetData>
  <mergeCells count="64">
    <mergeCell ref="B2:Q2"/>
    <mergeCell ref="B3:Q3"/>
    <mergeCell ref="B6:G6"/>
    <mergeCell ref="K6:Q6"/>
    <mergeCell ref="D7:G7"/>
    <mergeCell ref="D8:G8"/>
    <mergeCell ref="D9:G9"/>
    <mergeCell ref="D10:G10"/>
    <mergeCell ref="D11:G11"/>
    <mergeCell ref="D12:G12"/>
    <mergeCell ref="D13:G13"/>
    <mergeCell ref="D14:G14"/>
    <mergeCell ref="D15:G15"/>
    <mergeCell ref="D16:G16"/>
    <mergeCell ref="D17:G17"/>
    <mergeCell ref="L17:M17"/>
    <mergeCell ref="P17:Q17"/>
    <mergeCell ref="D18:G18"/>
    <mergeCell ref="K18:Q19"/>
    <mergeCell ref="D19:G19"/>
    <mergeCell ref="D20:G20"/>
    <mergeCell ref="K21:Q21"/>
    <mergeCell ref="B22:I22"/>
    <mergeCell ref="K22:Q23"/>
    <mergeCell ref="K24:Q25"/>
    <mergeCell ref="K26:Q27"/>
    <mergeCell ref="H27:I27"/>
    <mergeCell ref="K28:Q29"/>
    <mergeCell ref="B29:I29"/>
    <mergeCell ref="K30:Q31"/>
    <mergeCell ref="K32:Q33"/>
    <mergeCell ref="H34:I34"/>
    <mergeCell ref="K34:Q35"/>
    <mergeCell ref="B36:I36"/>
    <mergeCell ref="K37:Q37"/>
    <mergeCell ref="K38:Q39"/>
    <mergeCell ref="K40:Q41"/>
    <mergeCell ref="K42:Q43"/>
    <mergeCell ref="H43:I43"/>
    <mergeCell ref="K44:Q45"/>
    <mergeCell ref="B45:I45"/>
    <mergeCell ref="K46:Q47"/>
    <mergeCell ref="K49:Q49"/>
    <mergeCell ref="K50:M50"/>
    <mergeCell ref="O50:Q50"/>
    <mergeCell ref="H51:I51"/>
    <mergeCell ref="K51:M51"/>
    <mergeCell ref="O51:Q51"/>
    <mergeCell ref="K52:M52"/>
    <mergeCell ref="O52:Q52"/>
    <mergeCell ref="B53:I53"/>
    <mergeCell ref="K53:M53"/>
    <mergeCell ref="O53:Q53"/>
    <mergeCell ref="K55:Q55"/>
    <mergeCell ref="K56:Q57"/>
    <mergeCell ref="K58:Q59"/>
    <mergeCell ref="H60:I60"/>
    <mergeCell ref="K60:Q61"/>
    <mergeCell ref="B62:I62"/>
    <mergeCell ref="H66:I66"/>
    <mergeCell ref="B68:I68"/>
    <mergeCell ref="H74:I74"/>
    <mergeCell ref="B76:I76"/>
    <mergeCell ref="H84:I84"/>
  </mergeCells>
  <conditionalFormatting sqref="E24:E26">
    <cfRule type="dataBar" priority="2">
      <dataBar showValue="1" minLength="10" maxLength="90">
        <cfvo type="num" val="0"/>
        <cfvo type="num" val="0.6"/>
        <color rgb="FFE4572E"/>
      </dataBar>
      <extLst>
        <ext xmlns:x14="http://schemas.microsoft.com/office/spreadsheetml/2009/9/main" uri="{B025F937-C7B1-47D3-B67F-A62EFF666E3E}">
          <x14:id>{D267F223-FDC6-4B20-B579-2787688AB257}</x14:id>
        </ext>
      </extLst>
    </cfRule>
  </conditionalFormatting>
  <conditionalFormatting sqref="F24:F26">
    <cfRule type="cellIs" priority="3" operator="greaterThan" aboveAverage="0" equalAverage="0" bottom="0" percent="0" rank="0" text="" dxfId="4">
      <formula>0</formula>
    </cfRule>
    <cfRule type="cellIs" priority="4" operator="lessThan" aboveAverage="0" equalAverage="0" bottom="0" percent="0" rank="0" text="" dxfId="5">
      <formula>0</formula>
    </cfRule>
  </conditionalFormatting>
  <conditionalFormatting sqref="E31:E33">
    <cfRule type="dataBar" priority="5">
      <dataBar showValue="1" minLength="10" maxLength="90">
        <cfvo type="num" val="0"/>
        <cfvo type="num" val="0.6"/>
        <color rgb="FFE4572E"/>
      </dataBar>
      <extLst>
        <ext xmlns:x14="http://schemas.microsoft.com/office/spreadsheetml/2009/9/main" uri="{B025F937-C7B1-47D3-B67F-A62EFF666E3E}">
          <x14:id>{D010CCE1-F09A-4565-8D11-26FAFC57D2B8}</x14:id>
        </ext>
      </extLst>
    </cfRule>
  </conditionalFormatting>
  <conditionalFormatting sqref="F31:F33">
    <cfRule type="cellIs" priority="6" operator="greaterThan" aboveAverage="0" equalAverage="0" bottom="0" percent="0" rank="0" text="" dxfId="4">
      <formula>0</formula>
    </cfRule>
    <cfRule type="cellIs" priority="7" operator="lessThan" aboveAverage="0" equalAverage="0" bottom="0" percent="0" rank="0" text="" dxfId="5">
      <formula>0</formula>
    </cfRule>
  </conditionalFormatting>
  <conditionalFormatting sqref="E38:E42">
    <cfRule type="dataBar" priority="8">
      <dataBar showValue="1" minLength="10" maxLength="90">
        <cfvo type="num" val="0"/>
        <cfvo type="num" val="0.6"/>
        <color rgb="FFE4572E"/>
      </dataBar>
      <extLst>
        <ext xmlns:x14="http://schemas.microsoft.com/office/spreadsheetml/2009/9/main" uri="{B025F937-C7B1-47D3-B67F-A62EFF666E3E}">
          <x14:id>{CB7D946F-58C0-4E27-B8BB-A5FB39F81D70}</x14:id>
        </ext>
      </extLst>
    </cfRule>
  </conditionalFormatting>
  <conditionalFormatting sqref="F38:F42">
    <cfRule type="cellIs" priority="9" operator="greaterThan" aboveAverage="0" equalAverage="0" bottom="0" percent="0" rank="0" text="" dxfId="4">
      <formula>0</formula>
    </cfRule>
    <cfRule type="cellIs" priority="10" operator="lessThan" aboveAverage="0" equalAverage="0" bottom="0" percent="0" rank="0" text="" dxfId="5">
      <formula>0</formula>
    </cfRule>
  </conditionalFormatting>
  <conditionalFormatting sqref="E47:E50">
    <cfRule type="dataBar" priority="11">
      <dataBar showValue="1" minLength="10" maxLength="90">
        <cfvo type="num" val="0"/>
        <cfvo type="num" val="0.6"/>
        <color rgb="FFE4572E"/>
      </dataBar>
      <extLst>
        <ext xmlns:x14="http://schemas.microsoft.com/office/spreadsheetml/2009/9/main" uri="{B025F937-C7B1-47D3-B67F-A62EFF666E3E}">
          <x14:id>{8EA790A2-2EA0-453D-95B5-84B0234B1E7D}</x14:id>
        </ext>
      </extLst>
    </cfRule>
  </conditionalFormatting>
  <conditionalFormatting sqref="F47:F50">
    <cfRule type="cellIs" priority="12" operator="greaterThan" aboveAverage="0" equalAverage="0" bottom="0" percent="0" rank="0" text="" dxfId="4">
      <formula>0</formula>
    </cfRule>
    <cfRule type="cellIs" priority="13" operator="lessThan" aboveAverage="0" equalAverage="0" bottom="0" percent="0" rank="0" text="" dxfId="5">
      <formula>0</formula>
    </cfRule>
  </conditionalFormatting>
  <conditionalFormatting sqref="E55:E59">
    <cfRule type="dataBar" priority="14">
      <dataBar showValue="1" minLength="10" maxLength="90">
        <cfvo type="num" val="0"/>
        <cfvo type="num" val="0.6"/>
        <color rgb="FFE4572E"/>
      </dataBar>
      <extLst>
        <ext xmlns:x14="http://schemas.microsoft.com/office/spreadsheetml/2009/9/main" uri="{B025F937-C7B1-47D3-B67F-A62EFF666E3E}">
          <x14:id>{96BADE99-5F31-427D-A1A3-1F18C5F7F772}</x14:id>
        </ext>
      </extLst>
    </cfRule>
  </conditionalFormatting>
  <conditionalFormatting sqref="F55:F59">
    <cfRule type="cellIs" priority="15" operator="greaterThan" aboveAverage="0" equalAverage="0" bottom="0" percent="0" rank="0" text="" dxfId="4">
      <formula>0</formula>
    </cfRule>
    <cfRule type="cellIs" priority="16" operator="lessThan" aboveAverage="0" equalAverage="0" bottom="0" percent="0" rank="0" text="" dxfId="5">
      <formula>0</formula>
    </cfRule>
  </conditionalFormatting>
  <conditionalFormatting sqref="E64:E65">
    <cfRule type="dataBar" priority="17">
      <dataBar showValue="1" minLength="10" maxLength="90">
        <cfvo type="num" val="0"/>
        <cfvo type="num" val="0.6"/>
        <color rgb="FFE4572E"/>
      </dataBar>
      <extLst>
        <ext xmlns:x14="http://schemas.microsoft.com/office/spreadsheetml/2009/9/main" uri="{B025F937-C7B1-47D3-B67F-A62EFF666E3E}">
          <x14:id>{E79DA07F-3F32-4812-B8A4-576D9350E8E5}</x14:id>
        </ext>
      </extLst>
    </cfRule>
  </conditionalFormatting>
  <conditionalFormatting sqref="F64:F65">
    <cfRule type="cellIs" priority="18" operator="greaterThan" aboveAverage="0" equalAverage="0" bottom="0" percent="0" rank="0" text="" dxfId="4">
      <formula>0</formula>
    </cfRule>
    <cfRule type="cellIs" priority="19" operator="lessThan" aboveAverage="0" equalAverage="0" bottom="0" percent="0" rank="0" text="" dxfId="5">
      <formula>0</formula>
    </cfRule>
  </conditionalFormatting>
  <conditionalFormatting sqref="E70:E73">
    <cfRule type="dataBar" priority="20">
      <dataBar showValue="1" minLength="10" maxLength="90">
        <cfvo type="num" val="0"/>
        <cfvo type="num" val="0.6"/>
        <color rgb="FFE4572E"/>
      </dataBar>
      <extLst>
        <ext xmlns:x14="http://schemas.microsoft.com/office/spreadsheetml/2009/9/main" uri="{B025F937-C7B1-47D3-B67F-A62EFF666E3E}">
          <x14:id>{3774DFBA-4ACB-451E-94C0-292C6099FAC7}</x14:id>
        </ext>
      </extLst>
    </cfRule>
  </conditionalFormatting>
  <conditionalFormatting sqref="F70:F73">
    <cfRule type="cellIs" priority="21" operator="greaterThan" aboveAverage="0" equalAverage="0" bottom="0" percent="0" rank="0" text="" dxfId="4">
      <formula>0</formula>
    </cfRule>
    <cfRule type="cellIs" priority="22" operator="lessThan" aboveAverage="0" equalAverage="0" bottom="0" percent="0" rank="0" text="" dxfId="5">
      <formula>0</formula>
    </cfRule>
  </conditionalFormatting>
  <conditionalFormatting sqref="E78:E83">
    <cfRule type="dataBar" priority="23">
      <dataBar showValue="1" minLength="10" maxLength="90">
        <cfvo type="num" val="0"/>
        <cfvo type="num" val="0.6"/>
        <color rgb="FFE4572E"/>
      </dataBar>
      <extLst>
        <ext xmlns:x14="http://schemas.microsoft.com/office/spreadsheetml/2009/9/main" uri="{B025F937-C7B1-47D3-B67F-A62EFF666E3E}">
          <x14:id>{5175CEC8-AB25-4288-A5D8-A06A5C2F9EBC}</x14:id>
        </ext>
      </extLst>
    </cfRule>
  </conditionalFormatting>
  <conditionalFormatting sqref="F78:F83">
    <cfRule type="cellIs" priority="24" operator="greaterThan" aboveAverage="0" equalAverage="0" bottom="0" percent="0" rank="0" text="" dxfId="4">
      <formula>0</formula>
    </cfRule>
    <cfRule type="cellIs" priority="25" operator="lessThan" aboveAverage="0" equalAverage="0" bottom="0" percent="0" rank="0" text="" dxfId="5">
      <formula>0</formula>
    </cfRule>
  </conditionalFormatting>
  <conditionalFormatting sqref="N8:N16">
    <cfRule type="dataBar" priority="26">
      <dataBar showValue="1" minLength="10" maxLength="90">
        <cfvo type="num" val="0"/>
        <cfvo type="num" val="0.6"/>
        <color rgb="FFE4572E"/>
      </dataBar>
      <extLst>
        <ext xmlns:x14="http://schemas.microsoft.com/office/spreadsheetml/2009/9/main" uri="{B025F937-C7B1-47D3-B67F-A62EFF666E3E}">
          <x14:id>{FBDA442F-C8E9-40BF-BB1E-DE8D6C30571A}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267F223-FDC6-4B20-B579-2787688AB257}">
            <x14:dataBar minLength="10" maxLength="90" axisPosition="none" gradient="true">
              <x14:cfvo type="num">
                <xm:f>0</xm:f>
              </x14:cfvo>
              <x14:cfvo type="num">
                <xm:f>0.6</xm:f>
              </x14:cfvo>
              <x14:negativeFillColor rgb="FFE4572E"/>
              <x14:axisColor rgb="FF000000"/>
            </x14:dataBar>
          </x14:cfRule>
          <xm:sqref>E24:E26</xm:sqref>
        </x14:conditionalFormatting>
        <x14:conditionalFormatting xmlns:xm="http://schemas.microsoft.com/office/excel/2006/main">
          <x14:cfRule type="dataBar" id="{D010CCE1-F09A-4565-8D11-26FAFC57D2B8}">
            <x14:dataBar minLength="10" maxLength="90" axisPosition="none" gradient="true">
              <x14:cfvo type="num">
                <xm:f>0</xm:f>
              </x14:cfvo>
              <x14:cfvo type="num">
                <xm:f>0.6</xm:f>
              </x14:cfvo>
              <x14:negativeFillColor rgb="FFE4572E"/>
              <x14:axisColor rgb="FF000000"/>
            </x14:dataBar>
          </x14:cfRule>
          <xm:sqref>E31:E33</xm:sqref>
        </x14:conditionalFormatting>
        <x14:conditionalFormatting xmlns:xm="http://schemas.microsoft.com/office/excel/2006/main">
          <x14:cfRule type="dataBar" id="{CB7D946F-58C0-4E27-B8BB-A5FB39F81D70}">
            <x14:dataBar minLength="10" maxLength="90" axisPosition="none" gradient="true">
              <x14:cfvo type="num">
                <xm:f>0</xm:f>
              </x14:cfvo>
              <x14:cfvo type="num">
                <xm:f>0.6</xm:f>
              </x14:cfvo>
              <x14:negativeFillColor rgb="FFE4572E"/>
              <x14:axisColor rgb="FF000000"/>
            </x14:dataBar>
          </x14:cfRule>
          <xm:sqref>E38:E42</xm:sqref>
        </x14:conditionalFormatting>
        <x14:conditionalFormatting xmlns:xm="http://schemas.microsoft.com/office/excel/2006/main">
          <x14:cfRule type="dataBar" id="{8EA790A2-2EA0-453D-95B5-84B0234B1E7D}">
            <x14:dataBar minLength="10" maxLength="90" axisPosition="none" gradient="true">
              <x14:cfvo type="num">
                <xm:f>0</xm:f>
              </x14:cfvo>
              <x14:cfvo type="num">
                <xm:f>0.6</xm:f>
              </x14:cfvo>
              <x14:negativeFillColor rgb="FFE4572E"/>
              <x14:axisColor rgb="FF000000"/>
            </x14:dataBar>
          </x14:cfRule>
          <xm:sqref>E47:E50</xm:sqref>
        </x14:conditionalFormatting>
        <x14:conditionalFormatting xmlns:xm="http://schemas.microsoft.com/office/excel/2006/main">
          <x14:cfRule type="dataBar" id="{96BADE99-5F31-427D-A1A3-1F18C5F7F772}">
            <x14:dataBar minLength="10" maxLength="90" axisPosition="none" gradient="true">
              <x14:cfvo type="num">
                <xm:f>0</xm:f>
              </x14:cfvo>
              <x14:cfvo type="num">
                <xm:f>0.6</xm:f>
              </x14:cfvo>
              <x14:negativeFillColor rgb="FFE4572E"/>
              <x14:axisColor rgb="FF000000"/>
            </x14:dataBar>
          </x14:cfRule>
          <xm:sqref>E55:E59</xm:sqref>
        </x14:conditionalFormatting>
        <x14:conditionalFormatting xmlns:xm="http://schemas.microsoft.com/office/excel/2006/main">
          <x14:cfRule type="dataBar" id="{E79DA07F-3F32-4812-B8A4-576D9350E8E5}">
            <x14:dataBar minLength="10" maxLength="90" axisPosition="none" gradient="true">
              <x14:cfvo type="num">
                <xm:f>0</xm:f>
              </x14:cfvo>
              <x14:cfvo type="num">
                <xm:f>0.6</xm:f>
              </x14:cfvo>
              <x14:negativeFillColor rgb="FFE4572E"/>
              <x14:axisColor rgb="FF000000"/>
            </x14:dataBar>
          </x14:cfRule>
          <xm:sqref>E64:E65</xm:sqref>
        </x14:conditionalFormatting>
        <x14:conditionalFormatting xmlns:xm="http://schemas.microsoft.com/office/excel/2006/main">
          <x14:cfRule type="dataBar" id="{3774DFBA-4ACB-451E-94C0-292C6099FAC7}">
            <x14:dataBar minLength="10" maxLength="90" axisPosition="none" gradient="true">
              <x14:cfvo type="num">
                <xm:f>0</xm:f>
              </x14:cfvo>
              <x14:cfvo type="num">
                <xm:f>0.6</xm:f>
              </x14:cfvo>
              <x14:negativeFillColor rgb="FFE4572E"/>
              <x14:axisColor rgb="FF000000"/>
            </x14:dataBar>
          </x14:cfRule>
          <xm:sqref>E70:E73</xm:sqref>
        </x14:conditionalFormatting>
        <x14:conditionalFormatting xmlns:xm="http://schemas.microsoft.com/office/excel/2006/main">
          <x14:cfRule type="dataBar" id="{5175CEC8-AB25-4288-A5D8-A06A5C2F9EBC}">
            <x14:dataBar minLength="10" maxLength="90" axisPosition="none" gradient="true">
              <x14:cfvo type="num">
                <xm:f>0</xm:f>
              </x14:cfvo>
              <x14:cfvo type="num">
                <xm:f>0.6</xm:f>
              </x14:cfvo>
              <x14:negativeFillColor rgb="FFE4572E"/>
              <x14:axisColor rgb="FF000000"/>
            </x14:dataBar>
          </x14:cfRule>
          <xm:sqref>E78:E83</xm:sqref>
        </x14:conditionalFormatting>
        <x14:conditionalFormatting xmlns:xm="http://schemas.microsoft.com/office/excel/2006/main">
          <x14:cfRule type="dataBar" id="{FBDA442F-C8E9-40BF-BB1E-DE8D6C30571A}">
            <x14:dataBar minLength="10" maxLength="90" axisPosition="none" gradient="true">
              <x14:cfvo type="num">
                <xm:f>0</xm:f>
              </x14:cfvo>
              <x14:cfvo type="num">
                <xm:f>0.6</xm:f>
              </x14:cfvo>
              <x14:negativeFillColor rgb="FFE4572E"/>
              <x14:axisColor rgb="FF000000"/>
            </x14:dataBar>
          </x14:cfRule>
          <xm:sqref>N8:N16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7785"/>
    <pageSetUpPr fitToPage="true"/>
  </sheetPr>
  <dimension ref="A1:N1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11"/>
    <col collapsed="false" customWidth="true" hidden="false" outlineLevel="0" max="5" min="5" style="0" width="15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10" min="9" style="0" width="16"/>
    <col collapsed="false" customWidth="true" hidden="false" outlineLevel="0" max="11" min="11" style="0" width="15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false" outlineLevel="0" max="14" min="14" style="0" width="14"/>
  </cols>
  <sheetData>
    <row r="1" customFormat="false" ht="31.5" hidden="false" customHeight="true" outlineLevel="0" collapsed="false">
      <c r="A1" s="81" t="s">
        <v>143</v>
      </c>
      <c r="B1" s="81" t="s">
        <v>144</v>
      </c>
      <c r="C1" s="81" t="s">
        <v>145</v>
      </c>
      <c r="D1" s="81" t="s">
        <v>146</v>
      </c>
      <c r="E1" s="81" t="s">
        <v>147</v>
      </c>
      <c r="F1" s="81" t="s">
        <v>148</v>
      </c>
      <c r="G1" s="81" t="s">
        <v>149</v>
      </c>
      <c r="H1" s="81" t="s">
        <v>150</v>
      </c>
      <c r="I1" s="81" t="s">
        <v>151</v>
      </c>
      <c r="J1" s="81" t="s">
        <v>152</v>
      </c>
      <c r="K1" s="81" t="s">
        <v>153</v>
      </c>
      <c r="L1" s="81" t="s">
        <v>154</v>
      </c>
      <c r="M1" s="81" t="s">
        <v>48</v>
      </c>
      <c r="N1" s="81" t="s">
        <v>155</v>
      </c>
    </row>
    <row r="2" customFormat="false" ht="15" hidden="false" customHeight="false" outlineLevel="0" collapsed="false">
      <c r="A2" s="82" t="s">
        <v>156</v>
      </c>
      <c r="B2" s="83" t="s">
        <v>129</v>
      </c>
      <c r="C2" s="83" t="n">
        <v>20</v>
      </c>
      <c r="D2" s="83" t="s">
        <v>119</v>
      </c>
      <c r="E2" s="82" t="s">
        <v>96</v>
      </c>
      <c r="F2" s="82" t="s">
        <v>30</v>
      </c>
      <c r="G2" s="82" t="s">
        <v>33</v>
      </c>
      <c r="H2" s="83" t="n">
        <v>7</v>
      </c>
      <c r="I2" s="84" t="n">
        <v>8700</v>
      </c>
      <c r="J2" s="84" t="n">
        <v>60900</v>
      </c>
      <c r="K2" s="82" t="s">
        <v>134</v>
      </c>
      <c r="L2" s="83" t="n">
        <v>2</v>
      </c>
      <c r="M2" s="83" t="s">
        <v>157</v>
      </c>
      <c r="N2" s="85" t="n">
        <v>46142</v>
      </c>
    </row>
    <row r="3" customFormat="false" ht="15" hidden="false" customHeight="false" outlineLevel="0" collapsed="false">
      <c r="A3" s="82" t="s">
        <v>158</v>
      </c>
      <c r="B3" s="83" t="s">
        <v>129</v>
      </c>
      <c r="C3" s="83" t="n">
        <v>54</v>
      </c>
      <c r="D3" s="83" t="s">
        <v>124</v>
      </c>
      <c r="E3" s="82" t="s">
        <v>95</v>
      </c>
      <c r="F3" s="82" t="s">
        <v>31</v>
      </c>
      <c r="G3" s="82" t="s">
        <v>34</v>
      </c>
      <c r="H3" s="83" t="n">
        <v>27</v>
      </c>
      <c r="I3" s="84" t="n">
        <v>13900</v>
      </c>
      <c r="J3" s="84" t="n">
        <v>375300</v>
      </c>
      <c r="K3" s="82" t="s">
        <v>135</v>
      </c>
      <c r="L3" s="83" t="n">
        <v>1</v>
      </c>
      <c r="M3" s="83" t="s">
        <v>157</v>
      </c>
      <c r="N3" s="85" t="n">
        <v>46104</v>
      </c>
    </row>
    <row r="4" customFormat="false" ht="15" hidden="false" customHeight="false" outlineLevel="0" collapsed="false">
      <c r="A4" s="82" t="s">
        <v>159</v>
      </c>
      <c r="B4" s="83" t="s">
        <v>130</v>
      </c>
      <c r="C4" s="83" t="n">
        <v>40</v>
      </c>
      <c r="D4" s="83" t="s">
        <v>123</v>
      </c>
      <c r="E4" s="82" t="s">
        <v>96</v>
      </c>
      <c r="F4" s="82" t="s">
        <v>30</v>
      </c>
      <c r="G4" s="82" t="s">
        <v>35</v>
      </c>
      <c r="H4" s="83" t="n">
        <v>22</v>
      </c>
      <c r="I4" s="84" t="n">
        <v>8000</v>
      </c>
      <c r="J4" s="84" t="n">
        <v>176000</v>
      </c>
      <c r="K4" s="82" t="s">
        <v>135</v>
      </c>
      <c r="L4" s="83" t="n">
        <v>1</v>
      </c>
      <c r="M4" s="83" t="s">
        <v>160</v>
      </c>
      <c r="N4" s="85" t="n">
        <v>46258</v>
      </c>
    </row>
    <row r="5" customFormat="false" ht="15" hidden="false" customHeight="false" outlineLevel="0" collapsed="false">
      <c r="A5" s="82" t="s">
        <v>161</v>
      </c>
      <c r="B5" s="83" t="s">
        <v>129</v>
      </c>
      <c r="C5" s="83" t="n">
        <v>43</v>
      </c>
      <c r="D5" s="83" t="s">
        <v>123</v>
      </c>
      <c r="E5" s="82" t="s">
        <v>93</v>
      </c>
      <c r="F5" s="82" t="s">
        <v>31</v>
      </c>
      <c r="G5" s="82" t="s">
        <v>35</v>
      </c>
      <c r="H5" s="83" t="n">
        <v>24</v>
      </c>
      <c r="I5" s="84" t="n">
        <v>14700</v>
      </c>
      <c r="J5" s="84" t="n">
        <v>352800</v>
      </c>
      <c r="K5" s="82" t="s">
        <v>133</v>
      </c>
      <c r="L5" s="83" t="n">
        <v>3</v>
      </c>
      <c r="M5" s="83" t="s">
        <v>160</v>
      </c>
      <c r="N5" s="85" t="n">
        <v>46171</v>
      </c>
    </row>
    <row r="6" customFormat="false" ht="15" hidden="false" customHeight="false" outlineLevel="0" collapsed="false">
      <c r="A6" s="82" t="s">
        <v>162</v>
      </c>
      <c r="B6" s="83" t="s">
        <v>129</v>
      </c>
      <c r="C6" s="83" t="n">
        <v>33</v>
      </c>
      <c r="D6" s="83" t="s">
        <v>121</v>
      </c>
      <c r="E6" s="82" t="s">
        <v>93</v>
      </c>
      <c r="F6" s="82" t="s">
        <v>30</v>
      </c>
      <c r="G6" s="82" t="s">
        <v>33</v>
      </c>
      <c r="H6" s="83" t="n">
        <v>24</v>
      </c>
      <c r="I6" s="84" t="n">
        <v>8000</v>
      </c>
      <c r="J6" s="84" t="n">
        <v>192000</v>
      </c>
      <c r="K6" s="82" t="s">
        <v>133</v>
      </c>
      <c r="L6" s="83" t="n">
        <v>0</v>
      </c>
      <c r="M6" s="83" t="s">
        <v>157</v>
      </c>
      <c r="N6" s="85" t="n">
        <v>46148</v>
      </c>
    </row>
    <row r="7" customFormat="false" ht="15" hidden="false" customHeight="false" outlineLevel="0" collapsed="false">
      <c r="A7" s="82" t="s">
        <v>163</v>
      </c>
      <c r="B7" s="83" t="s">
        <v>129</v>
      </c>
      <c r="C7" s="83" t="n">
        <v>48</v>
      </c>
      <c r="D7" s="83" t="s">
        <v>124</v>
      </c>
      <c r="E7" s="82" t="s">
        <v>98</v>
      </c>
      <c r="F7" s="82" t="s">
        <v>30</v>
      </c>
      <c r="G7" s="82" t="s">
        <v>35</v>
      </c>
      <c r="H7" s="83" t="n">
        <v>36</v>
      </c>
      <c r="I7" s="84" t="n">
        <v>8100</v>
      </c>
      <c r="J7" s="84" t="n">
        <v>291600</v>
      </c>
      <c r="K7" s="82" t="s">
        <v>135</v>
      </c>
      <c r="L7" s="83" t="n">
        <v>4</v>
      </c>
      <c r="M7" s="83" t="s">
        <v>160</v>
      </c>
      <c r="N7" s="85" t="n">
        <v>46140</v>
      </c>
    </row>
    <row r="8" customFormat="false" ht="15" hidden="false" customHeight="false" outlineLevel="0" collapsed="false">
      <c r="A8" s="82" t="s">
        <v>164</v>
      </c>
      <c r="B8" s="83" t="s">
        <v>129</v>
      </c>
      <c r="C8" s="83" t="n">
        <v>39</v>
      </c>
      <c r="D8" s="83" t="s">
        <v>123</v>
      </c>
      <c r="E8" s="82" t="s">
        <v>98</v>
      </c>
      <c r="F8" s="82" t="s">
        <v>30</v>
      </c>
      <c r="G8" s="82" t="s">
        <v>33</v>
      </c>
      <c r="H8" s="83" t="n">
        <v>21</v>
      </c>
      <c r="I8" s="84" t="n">
        <v>8100</v>
      </c>
      <c r="J8" s="84" t="n">
        <v>170100</v>
      </c>
      <c r="K8" s="82" t="s">
        <v>134</v>
      </c>
      <c r="L8" s="83" t="n">
        <v>0</v>
      </c>
      <c r="M8" s="83" t="s">
        <v>157</v>
      </c>
      <c r="N8" s="85" t="n">
        <v>46157</v>
      </c>
    </row>
    <row r="9" customFormat="false" ht="15" hidden="false" customHeight="false" outlineLevel="0" collapsed="false">
      <c r="A9" s="82" t="s">
        <v>165</v>
      </c>
      <c r="B9" s="83" t="s">
        <v>130</v>
      </c>
      <c r="C9" s="83" t="n">
        <v>56</v>
      </c>
      <c r="D9" s="83" t="s">
        <v>126</v>
      </c>
      <c r="E9" s="82" t="s">
        <v>98</v>
      </c>
      <c r="F9" s="82" t="s">
        <v>30</v>
      </c>
      <c r="G9" s="82" t="s">
        <v>35</v>
      </c>
      <c r="H9" s="83" t="n">
        <v>9</v>
      </c>
      <c r="I9" s="84" t="n">
        <v>8500</v>
      </c>
      <c r="J9" s="84" t="n">
        <v>76500</v>
      </c>
      <c r="K9" s="82" t="s">
        <v>133</v>
      </c>
      <c r="L9" s="83" t="n">
        <v>2</v>
      </c>
      <c r="M9" s="83" t="s">
        <v>160</v>
      </c>
      <c r="N9" s="85" t="n">
        <v>46101</v>
      </c>
    </row>
    <row r="10" customFormat="false" ht="15" hidden="false" customHeight="false" outlineLevel="0" collapsed="false">
      <c r="A10" s="82" t="s">
        <v>166</v>
      </c>
      <c r="B10" s="83" t="s">
        <v>129</v>
      </c>
      <c r="C10" s="83" t="n">
        <v>62</v>
      </c>
      <c r="D10" s="83" t="s">
        <v>126</v>
      </c>
      <c r="E10" s="82" t="s">
        <v>98</v>
      </c>
      <c r="F10" s="82" t="s">
        <v>31</v>
      </c>
      <c r="G10" s="82" t="s">
        <v>33</v>
      </c>
      <c r="H10" s="83" t="n">
        <v>30</v>
      </c>
      <c r="I10" s="84" t="n">
        <v>14600</v>
      </c>
      <c r="J10" s="84" t="n">
        <v>438000</v>
      </c>
      <c r="K10" s="82" t="s">
        <v>133</v>
      </c>
      <c r="L10" s="83" t="n">
        <v>5</v>
      </c>
      <c r="M10" s="83" t="s">
        <v>157</v>
      </c>
      <c r="N10" s="85" t="n">
        <v>46159</v>
      </c>
    </row>
    <row r="11" customFormat="false" ht="15" hidden="false" customHeight="false" outlineLevel="0" collapsed="false">
      <c r="A11" s="82" t="s">
        <v>167</v>
      </c>
      <c r="B11" s="83" t="s">
        <v>130</v>
      </c>
      <c r="C11" s="83" t="n">
        <v>26</v>
      </c>
      <c r="D11" s="83" t="s">
        <v>121</v>
      </c>
      <c r="E11" s="82" t="s">
        <v>96</v>
      </c>
      <c r="F11" s="82" t="s">
        <v>30</v>
      </c>
      <c r="G11" s="82" t="s">
        <v>33</v>
      </c>
      <c r="H11" s="83" t="n">
        <v>17</v>
      </c>
      <c r="I11" s="84" t="n">
        <v>9100</v>
      </c>
      <c r="J11" s="84" t="n">
        <v>154700</v>
      </c>
      <c r="K11" s="82" t="s">
        <v>132</v>
      </c>
      <c r="L11" s="83" t="n">
        <v>1</v>
      </c>
      <c r="M11" s="83" t="s">
        <v>157</v>
      </c>
      <c r="N11" s="85" t="n">
        <v>46175</v>
      </c>
    </row>
    <row r="12" customFormat="false" ht="15" hidden="false" customHeight="false" outlineLevel="0" collapsed="false">
      <c r="A12" s="82" t="s">
        <v>168</v>
      </c>
      <c r="B12" s="83" t="s">
        <v>129</v>
      </c>
      <c r="C12" s="83" t="n">
        <v>28</v>
      </c>
      <c r="D12" s="83" t="s">
        <v>121</v>
      </c>
      <c r="E12" s="82" t="s">
        <v>96</v>
      </c>
      <c r="F12" s="82" t="s">
        <v>31</v>
      </c>
      <c r="G12" s="82" t="s">
        <v>34</v>
      </c>
      <c r="H12" s="83" t="n">
        <v>34</v>
      </c>
      <c r="I12" s="84" t="n">
        <v>15500</v>
      </c>
      <c r="J12" s="84" t="n">
        <v>527000</v>
      </c>
      <c r="K12" s="82" t="s">
        <v>133</v>
      </c>
      <c r="L12" s="83" t="n">
        <v>0</v>
      </c>
      <c r="M12" s="83" t="s">
        <v>160</v>
      </c>
      <c r="N12" s="85" t="n">
        <v>46180</v>
      </c>
    </row>
    <row r="13" customFormat="false" ht="15" hidden="false" customHeight="false" outlineLevel="0" collapsed="false">
      <c r="A13" s="82" t="s">
        <v>169</v>
      </c>
      <c r="B13" s="83" t="s">
        <v>129</v>
      </c>
      <c r="C13" s="83" t="n">
        <v>22</v>
      </c>
      <c r="D13" s="83" t="s">
        <v>119</v>
      </c>
      <c r="E13" s="82" t="s">
        <v>95</v>
      </c>
      <c r="F13" s="82" t="s">
        <v>32</v>
      </c>
      <c r="G13" s="82" t="s">
        <v>35</v>
      </c>
      <c r="H13" s="83" t="n">
        <v>6</v>
      </c>
      <c r="I13" s="84" t="n">
        <v>24400</v>
      </c>
      <c r="J13" s="84" t="n">
        <v>146400</v>
      </c>
      <c r="K13" s="82" t="s">
        <v>133</v>
      </c>
      <c r="L13" s="83" t="n">
        <v>1</v>
      </c>
      <c r="M13" s="83" t="s">
        <v>160</v>
      </c>
      <c r="N13" s="85" t="n">
        <v>46087</v>
      </c>
    </row>
    <row r="14" customFormat="false" ht="15" hidden="false" customHeight="false" outlineLevel="0" collapsed="false">
      <c r="A14" s="82" t="s">
        <v>170</v>
      </c>
      <c r="B14" s="83" t="s">
        <v>129</v>
      </c>
      <c r="C14" s="83" t="n">
        <v>61</v>
      </c>
      <c r="D14" s="83" t="s">
        <v>126</v>
      </c>
      <c r="E14" s="82" t="s">
        <v>98</v>
      </c>
      <c r="F14" s="82" t="s">
        <v>32</v>
      </c>
      <c r="G14" s="82" t="s">
        <v>33</v>
      </c>
      <c r="H14" s="83" t="n">
        <v>34</v>
      </c>
      <c r="I14" s="84" t="n">
        <v>24900</v>
      </c>
      <c r="J14" s="84" t="n">
        <v>846600</v>
      </c>
      <c r="K14" s="82" t="s">
        <v>132</v>
      </c>
      <c r="L14" s="83" t="n">
        <v>1</v>
      </c>
      <c r="M14" s="83" t="s">
        <v>160</v>
      </c>
      <c r="N14" s="85" t="n">
        <v>46214</v>
      </c>
    </row>
    <row r="15" customFormat="false" ht="15" hidden="false" customHeight="false" outlineLevel="0" collapsed="false">
      <c r="A15" s="82" t="s">
        <v>171</v>
      </c>
      <c r="B15" s="83" t="s">
        <v>130</v>
      </c>
      <c r="C15" s="83" t="n">
        <v>52</v>
      </c>
      <c r="D15" s="83" t="s">
        <v>124</v>
      </c>
      <c r="E15" s="82" t="s">
        <v>98</v>
      </c>
      <c r="F15" s="82" t="s">
        <v>30</v>
      </c>
      <c r="G15" s="82" t="s">
        <v>33</v>
      </c>
      <c r="H15" s="83" t="n">
        <v>22</v>
      </c>
      <c r="I15" s="84" t="n">
        <v>7800</v>
      </c>
      <c r="J15" s="84" t="n">
        <v>171600</v>
      </c>
      <c r="K15" s="82" t="s">
        <v>132</v>
      </c>
      <c r="L15" s="83" t="n">
        <v>2</v>
      </c>
      <c r="M15" s="83" t="s">
        <v>157</v>
      </c>
      <c r="N15" s="85" t="n">
        <v>46053</v>
      </c>
    </row>
    <row r="16" customFormat="false" ht="15" hidden="false" customHeight="false" outlineLevel="0" collapsed="false">
      <c r="A16" s="82" t="s">
        <v>172</v>
      </c>
      <c r="B16" s="83" t="s">
        <v>129</v>
      </c>
      <c r="C16" s="83" t="n">
        <v>23</v>
      </c>
      <c r="D16" s="83" t="s">
        <v>119</v>
      </c>
      <c r="E16" s="82" t="s">
        <v>93</v>
      </c>
      <c r="F16" s="82" t="s">
        <v>32</v>
      </c>
      <c r="G16" s="82" t="s">
        <v>33</v>
      </c>
      <c r="H16" s="83" t="n">
        <v>16</v>
      </c>
      <c r="I16" s="84" t="n">
        <v>22700</v>
      </c>
      <c r="J16" s="84" t="n">
        <v>363200</v>
      </c>
      <c r="K16" s="82" t="s">
        <v>134</v>
      </c>
      <c r="L16" s="83" t="n">
        <v>0</v>
      </c>
      <c r="M16" s="83" t="s">
        <v>160</v>
      </c>
      <c r="N16" s="85" t="n">
        <v>46231</v>
      </c>
    </row>
    <row r="17" customFormat="false" ht="15" hidden="false" customHeight="false" outlineLevel="0" collapsed="false">
      <c r="A17" s="82" t="s">
        <v>173</v>
      </c>
      <c r="B17" s="83" t="s">
        <v>129</v>
      </c>
      <c r="C17" s="83" t="n">
        <v>25</v>
      </c>
      <c r="D17" s="83" t="s">
        <v>121</v>
      </c>
      <c r="E17" s="82" t="s">
        <v>93</v>
      </c>
      <c r="F17" s="82" t="s">
        <v>31</v>
      </c>
      <c r="G17" s="82" t="s">
        <v>33</v>
      </c>
      <c r="H17" s="83" t="n">
        <v>27</v>
      </c>
      <c r="I17" s="84" t="n">
        <v>14400</v>
      </c>
      <c r="J17" s="84" t="n">
        <v>388800</v>
      </c>
      <c r="K17" s="82" t="s">
        <v>133</v>
      </c>
      <c r="L17" s="83" t="n">
        <v>2</v>
      </c>
      <c r="M17" s="83" t="s">
        <v>160</v>
      </c>
      <c r="N17" s="85" t="n">
        <v>46073</v>
      </c>
    </row>
    <row r="18" customFormat="false" ht="15" hidden="false" customHeight="false" outlineLevel="0" collapsed="false">
      <c r="A18" s="82" t="s">
        <v>174</v>
      </c>
      <c r="B18" s="83" t="s">
        <v>129</v>
      </c>
      <c r="C18" s="83" t="n">
        <v>44</v>
      </c>
      <c r="D18" s="83" t="s">
        <v>123</v>
      </c>
      <c r="E18" s="82" t="s">
        <v>96</v>
      </c>
      <c r="F18" s="82" t="s">
        <v>31</v>
      </c>
      <c r="G18" s="82" t="s">
        <v>33</v>
      </c>
      <c r="H18" s="83" t="n">
        <v>13</v>
      </c>
      <c r="I18" s="84" t="n">
        <v>13800</v>
      </c>
      <c r="J18" s="84" t="n">
        <v>179400</v>
      </c>
      <c r="K18" s="82" t="s">
        <v>135</v>
      </c>
      <c r="L18" s="83" t="n">
        <v>0</v>
      </c>
      <c r="M18" s="83" t="s">
        <v>160</v>
      </c>
      <c r="N18" s="85" t="n">
        <v>46061</v>
      </c>
    </row>
    <row r="19" customFormat="false" ht="15" hidden="false" customHeight="false" outlineLevel="0" collapsed="false">
      <c r="A19" s="82" t="s">
        <v>175</v>
      </c>
      <c r="B19" s="83" t="s">
        <v>130</v>
      </c>
      <c r="C19" s="83" t="n">
        <v>54</v>
      </c>
      <c r="D19" s="83" t="s">
        <v>124</v>
      </c>
      <c r="E19" s="82" t="s">
        <v>93</v>
      </c>
      <c r="F19" s="82" t="s">
        <v>30</v>
      </c>
      <c r="G19" s="82" t="s">
        <v>35</v>
      </c>
      <c r="H19" s="83" t="n">
        <v>1</v>
      </c>
      <c r="I19" s="84" t="n">
        <v>9100</v>
      </c>
      <c r="J19" s="84" t="n">
        <v>9100</v>
      </c>
      <c r="K19" s="82" t="s">
        <v>132</v>
      </c>
      <c r="L19" s="83" t="n">
        <v>2</v>
      </c>
      <c r="M19" s="83" t="s">
        <v>160</v>
      </c>
      <c r="N19" s="85" t="n">
        <v>46132</v>
      </c>
    </row>
    <row r="20" customFormat="false" ht="15" hidden="false" customHeight="false" outlineLevel="0" collapsed="false">
      <c r="A20" s="82" t="s">
        <v>176</v>
      </c>
      <c r="B20" s="83" t="s">
        <v>130</v>
      </c>
      <c r="C20" s="83" t="n">
        <v>22</v>
      </c>
      <c r="D20" s="83" t="s">
        <v>119</v>
      </c>
      <c r="E20" s="82" t="s">
        <v>95</v>
      </c>
      <c r="F20" s="82" t="s">
        <v>30</v>
      </c>
      <c r="G20" s="82" t="s">
        <v>35</v>
      </c>
      <c r="H20" s="83" t="n">
        <v>17</v>
      </c>
      <c r="I20" s="84" t="n">
        <v>9100</v>
      </c>
      <c r="J20" s="84" t="n">
        <v>154700</v>
      </c>
      <c r="K20" s="82" t="s">
        <v>134</v>
      </c>
      <c r="L20" s="83" t="n">
        <v>2</v>
      </c>
      <c r="M20" s="83" t="s">
        <v>160</v>
      </c>
      <c r="N20" s="85" t="n">
        <v>46052</v>
      </c>
    </row>
    <row r="21" customFormat="false" ht="15" hidden="false" customHeight="false" outlineLevel="0" collapsed="false">
      <c r="A21" s="82" t="s">
        <v>177</v>
      </c>
      <c r="B21" s="83" t="s">
        <v>129</v>
      </c>
      <c r="C21" s="83" t="n">
        <v>39</v>
      </c>
      <c r="D21" s="83" t="s">
        <v>123</v>
      </c>
      <c r="E21" s="82" t="s">
        <v>93</v>
      </c>
      <c r="F21" s="82" t="s">
        <v>30</v>
      </c>
      <c r="G21" s="82" t="s">
        <v>33</v>
      </c>
      <c r="H21" s="83" t="n">
        <v>34</v>
      </c>
      <c r="I21" s="84" t="n">
        <v>8000</v>
      </c>
      <c r="J21" s="84" t="n">
        <v>272000</v>
      </c>
      <c r="K21" s="82" t="s">
        <v>133</v>
      </c>
      <c r="L21" s="83" t="n">
        <v>0</v>
      </c>
      <c r="M21" s="83" t="s">
        <v>157</v>
      </c>
      <c r="N21" s="85" t="n">
        <v>46057</v>
      </c>
    </row>
    <row r="22" customFormat="false" ht="15" hidden="false" customHeight="false" outlineLevel="0" collapsed="false">
      <c r="A22" s="82" t="s">
        <v>178</v>
      </c>
      <c r="B22" s="83" t="s">
        <v>129</v>
      </c>
      <c r="C22" s="83" t="n">
        <v>44</v>
      </c>
      <c r="D22" s="83" t="s">
        <v>123</v>
      </c>
      <c r="E22" s="82" t="s">
        <v>93</v>
      </c>
      <c r="F22" s="82" t="s">
        <v>32</v>
      </c>
      <c r="G22" s="82" t="s">
        <v>34</v>
      </c>
      <c r="H22" s="83" t="n">
        <v>3</v>
      </c>
      <c r="I22" s="84" t="n">
        <v>23900</v>
      </c>
      <c r="J22" s="84" t="n">
        <v>71700</v>
      </c>
      <c r="K22" s="82" t="s">
        <v>135</v>
      </c>
      <c r="L22" s="83" t="n">
        <v>0</v>
      </c>
      <c r="M22" s="83" t="s">
        <v>157</v>
      </c>
      <c r="N22" s="85" t="n">
        <v>46183</v>
      </c>
    </row>
    <row r="23" customFormat="false" ht="15" hidden="false" customHeight="false" outlineLevel="0" collapsed="false">
      <c r="A23" s="82" t="s">
        <v>179</v>
      </c>
      <c r="B23" s="83" t="s">
        <v>129</v>
      </c>
      <c r="C23" s="83" t="n">
        <v>35</v>
      </c>
      <c r="D23" s="83" t="s">
        <v>123</v>
      </c>
      <c r="E23" s="82" t="s">
        <v>98</v>
      </c>
      <c r="F23" s="82" t="s">
        <v>30</v>
      </c>
      <c r="G23" s="82" t="s">
        <v>34</v>
      </c>
      <c r="H23" s="83" t="n">
        <v>30</v>
      </c>
      <c r="I23" s="84" t="n">
        <v>8300</v>
      </c>
      <c r="J23" s="84" t="n">
        <v>249000</v>
      </c>
      <c r="K23" s="82" t="s">
        <v>133</v>
      </c>
      <c r="L23" s="83" t="n">
        <v>3</v>
      </c>
      <c r="M23" s="83" t="s">
        <v>160</v>
      </c>
      <c r="N23" s="85" t="n">
        <v>46074</v>
      </c>
    </row>
    <row r="24" customFormat="false" ht="15" hidden="false" customHeight="false" outlineLevel="0" collapsed="false">
      <c r="A24" s="82" t="s">
        <v>180</v>
      </c>
      <c r="B24" s="83" t="s">
        <v>129</v>
      </c>
      <c r="C24" s="83" t="n">
        <v>53</v>
      </c>
      <c r="D24" s="83" t="s">
        <v>124</v>
      </c>
      <c r="E24" s="82" t="s">
        <v>95</v>
      </c>
      <c r="F24" s="82" t="s">
        <v>31</v>
      </c>
      <c r="G24" s="82" t="s">
        <v>33</v>
      </c>
      <c r="H24" s="83" t="n">
        <v>23</v>
      </c>
      <c r="I24" s="84" t="n">
        <v>15400</v>
      </c>
      <c r="J24" s="84" t="n">
        <v>354200</v>
      </c>
      <c r="K24" s="82" t="s">
        <v>132</v>
      </c>
      <c r="L24" s="83" t="n">
        <v>3</v>
      </c>
      <c r="M24" s="83" t="s">
        <v>160</v>
      </c>
      <c r="N24" s="85" t="n">
        <v>46177</v>
      </c>
    </row>
    <row r="25" customFormat="false" ht="15" hidden="false" customHeight="false" outlineLevel="0" collapsed="false">
      <c r="A25" s="82" t="s">
        <v>181</v>
      </c>
      <c r="B25" s="83" t="s">
        <v>129</v>
      </c>
      <c r="C25" s="83" t="n">
        <v>61</v>
      </c>
      <c r="D25" s="83" t="s">
        <v>126</v>
      </c>
      <c r="E25" s="82" t="s">
        <v>99</v>
      </c>
      <c r="F25" s="82" t="s">
        <v>30</v>
      </c>
      <c r="G25" s="82" t="s">
        <v>34</v>
      </c>
      <c r="H25" s="83" t="n">
        <v>9</v>
      </c>
      <c r="I25" s="84" t="n">
        <v>8200</v>
      </c>
      <c r="J25" s="84" t="n">
        <v>73800</v>
      </c>
      <c r="K25" s="82" t="s">
        <v>133</v>
      </c>
      <c r="L25" s="83" t="n">
        <v>1</v>
      </c>
      <c r="M25" s="83" t="s">
        <v>157</v>
      </c>
      <c r="N25" s="85" t="n">
        <v>46167</v>
      </c>
    </row>
    <row r="26" customFormat="false" ht="15" hidden="false" customHeight="false" outlineLevel="0" collapsed="false">
      <c r="A26" s="82" t="s">
        <v>182</v>
      </c>
      <c r="B26" s="83" t="s">
        <v>129</v>
      </c>
      <c r="C26" s="83" t="n">
        <v>40</v>
      </c>
      <c r="D26" s="83" t="s">
        <v>123</v>
      </c>
      <c r="E26" s="82" t="s">
        <v>95</v>
      </c>
      <c r="F26" s="82" t="s">
        <v>31</v>
      </c>
      <c r="G26" s="82" t="s">
        <v>35</v>
      </c>
      <c r="H26" s="83" t="n">
        <v>33</v>
      </c>
      <c r="I26" s="84" t="n">
        <v>14500</v>
      </c>
      <c r="J26" s="84" t="n">
        <v>478500</v>
      </c>
      <c r="K26" s="82" t="s">
        <v>133</v>
      </c>
      <c r="L26" s="83" t="n">
        <v>4</v>
      </c>
      <c r="M26" s="83" t="s">
        <v>160</v>
      </c>
      <c r="N26" s="85" t="n">
        <v>46045</v>
      </c>
    </row>
    <row r="27" customFormat="false" ht="15" hidden="false" customHeight="false" outlineLevel="0" collapsed="false">
      <c r="A27" s="82" t="s">
        <v>183</v>
      </c>
      <c r="B27" s="83" t="s">
        <v>129</v>
      </c>
      <c r="C27" s="83" t="n">
        <v>40</v>
      </c>
      <c r="D27" s="83" t="s">
        <v>123</v>
      </c>
      <c r="E27" s="82" t="s">
        <v>95</v>
      </c>
      <c r="F27" s="82" t="s">
        <v>31</v>
      </c>
      <c r="G27" s="82" t="s">
        <v>33</v>
      </c>
      <c r="H27" s="83" t="n">
        <v>29</v>
      </c>
      <c r="I27" s="84" t="n">
        <v>14600</v>
      </c>
      <c r="J27" s="84" t="n">
        <v>423400</v>
      </c>
      <c r="K27" s="82" t="s">
        <v>134</v>
      </c>
      <c r="L27" s="83" t="n">
        <v>0</v>
      </c>
      <c r="M27" s="83" t="s">
        <v>157</v>
      </c>
      <c r="N27" s="85" t="n">
        <v>46099</v>
      </c>
    </row>
    <row r="28" customFormat="false" ht="15" hidden="false" customHeight="false" outlineLevel="0" collapsed="false">
      <c r="A28" s="82" t="s">
        <v>184</v>
      </c>
      <c r="B28" s="83" t="s">
        <v>129</v>
      </c>
      <c r="C28" s="83" t="n">
        <v>42</v>
      </c>
      <c r="D28" s="83" t="s">
        <v>123</v>
      </c>
      <c r="E28" s="82" t="s">
        <v>99</v>
      </c>
      <c r="F28" s="82" t="s">
        <v>31</v>
      </c>
      <c r="G28" s="82" t="s">
        <v>33</v>
      </c>
      <c r="H28" s="83" t="n">
        <v>3</v>
      </c>
      <c r="I28" s="84" t="n">
        <v>14100</v>
      </c>
      <c r="J28" s="84" t="n">
        <v>42300</v>
      </c>
      <c r="K28" s="82" t="s">
        <v>133</v>
      </c>
      <c r="L28" s="83" t="n">
        <v>4</v>
      </c>
      <c r="M28" s="83" t="s">
        <v>157</v>
      </c>
      <c r="N28" s="85" t="n">
        <v>46150</v>
      </c>
    </row>
    <row r="29" customFormat="false" ht="15" hidden="false" customHeight="false" outlineLevel="0" collapsed="false">
      <c r="A29" s="82" t="s">
        <v>185</v>
      </c>
      <c r="B29" s="83" t="s">
        <v>129</v>
      </c>
      <c r="C29" s="83" t="n">
        <v>41</v>
      </c>
      <c r="D29" s="83" t="s">
        <v>123</v>
      </c>
      <c r="E29" s="82" t="s">
        <v>99</v>
      </c>
      <c r="F29" s="82" t="s">
        <v>32</v>
      </c>
      <c r="G29" s="82" t="s">
        <v>33</v>
      </c>
      <c r="H29" s="83" t="n">
        <v>10</v>
      </c>
      <c r="I29" s="84" t="n">
        <v>25100</v>
      </c>
      <c r="J29" s="84" t="n">
        <v>251000</v>
      </c>
      <c r="K29" s="82" t="s">
        <v>132</v>
      </c>
      <c r="L29" s="83" t="n">
        <v>0</v>
      </c>
      <c r="M29" s="83" t="s">
        <v>160</v>
      </c>
      <c r="N29" s="85" t="n">
        <v>46113</v>
      </c>
    </row>
    <row r="30" customFormat="false" ht="15" hidden="false" customHeight="false" outlineLevel="0" collapsed="false">
      <c r="A30" s="82" t="s">
        <v>186</v>
      </c>
      <c r="B30" s="83" t="s">
        <v>130</v>
      </c>
      <c r="C30" s="83" t="n">
        <v>20</v>
      </c>
      <c r="D30" s="83" t="s">
        <v>119</v>
      </c>
      <c r="E30" s="82" t="s">
        <v>95</v>
      </c>
      <c r="F30" s="82" t="s">
        <v>31</v>
      </c>
      <c r="G30" s="82" t="s">
        <v>33</v>
      </c>
      <c r="H30" s="83" t="n">
        <v>27</v>
      </c>
      <c r="I30" s="84" t="n">
        <v>15200</v>
      </c>
      <c r="J30" s="84" t="n">
        <v>410400</v>
      </c>
      <c r="K30" s="82" t="s">
        <v>135</v>
      </c>
      <c r="L30" s="83" t="n">
        <v>4</v>
      </c>
      <c r="M30" s="83" t="s">
        <v>160</v>
      </c>
      <c r="N30" s="85" t="n">
        <v>46218</v>
      </c>
    </row>
    <row r="31" customFormat="false" ht="15" hidden="false" customHeight="false" outlineLevel="0" collapsed="false">
      <c r="A31" s="82" t="s">
        <v>187</v>
      </c>
      <c r="B31" s="83" t="s">
        <v>129</v>
      </c>
      <c r="C31" s="83" t="n">
        <v>49</v>
      </c>
      <c r="D31" s="83" t="s">
        <v>124</v>
      </c>
      <c r="E31" s="82" t="s">
        <v>95</v>
      </c>
      <c r="F31" s="82" t="s">
        <v>30</v>
      </c>
      <c r="G31" s="82" t="s">
        <v>35</v>
      </c>
      <c r="H31" s="83" t="n">
        <v>23</v>
      </c>
      <c r="I31" s="84" t="n">
        <v>8200</v>
      </c>
      <c r="J31" s="84" t="n">
        <v>188600</v>
      </c>
      <c r="K31" s="82" t="s">
        <v>132</v>
      </c>
      <c r="L31" s="83" t="n">
        <v>0</v>
      </c>
      <c r="M31" s="83" t="s">
        <v>160</v>
      </c>
      <c r="N31" s="85" t="n">
        <v>46227</v>
      </c>
    </row>
    <row r="32" customFormat="false" ht="15" hidden="false" customHeight="false" outlineLevel="0" collapsed="false">
      <c r="A32" s="82" t="s">
        <v>188</v>
      </c>
      <c r="B32" s="83" t="s">
        <v>130</v>
      </c>
      <c r="C32" s="83" t="n">
        <v>36</v>
      </c>
      <c r="D32" s="83" t="s">
        <v>123</v>
      </c>
      <c r="E32" s="82" t="s">
        <v>93</v>
      </c>
      <c r="F32" s="82" t="s">
        <v>32</v>
      </c>
      <c r="G32" s="82" t="s">
        <v>33</v>
      </c>
      <c r="H32" s="83" t="n">
        <v>33</v>
      </c>
      <c r="I32" s="84" t="n">
        <v>23100</v>
      </c>
      <c r="J32" s="84" t="n">
        <v>762300</v>
      </c>
      <c r="K32" s="82" t="s">
        <v>133</v>
      </c>
      <c r="L32" s="83" t="n">
        <v>4</v>
      </c>
      <c r="M32" s="83" t="s">
        <v>160</v>
      </c>
      <c r="N32" s="85" t="n">
        <v>46114</v>
      </c>
    </row>
    <row r="33" customFormat="false" ht="15" hidden="false" customHeight="false" outlineLevel="0" collapsed="false">
      <c r="A33" s="82" t="s">
        <v>189</v>
      </c>
      <c r="B33" s="83" t="s">
        <v>130</v>
      </c>
      <c r="C33" s="83" t="n">
        <v>21</v>
      </c>
      <c r="D33" s="83" t="s">
        <v>119</v>
      </c>
      <c r="E33" s="82" t="s">
        <v>93</v>
      </c>
      <c r="F33" s="82" t="s">
        <v>31</v>
      </c>
      <c r="G33" s="82" t="s">
        <v>33</v>
      </c>
      <c r="H33" s="83" t="n">
        <v>21</v>
      </c>
      <c r="I33" s="84" t="n">
        <v>14400</v>
      </c>
      <c r="J33" s="84" t="n">
        <v>302400</v>
      </c>
      <c r="K33" s="82" t="s">
        <v>133</v>
      </c>
      <c r="L33" s="83" t="n">
        <v>1</v>
      </c>
      <c r="M33" s="83" t="s">
        <v>160</v>
      </c>
      <c r="N33" s="85" t="n">
        <v>46153</v>
      </c>
    </row>
    <row r="34" customFormat="false" ht="15" hidden="false" customHeight="false" outlineLevel="0" collapsed="false">
      <c r="A34" s="82" t="s">
        <v>190</v>
      </c>
      <c r="B34" s="83" t="s">
        <v>129</v>
      </c>
      <c r="C34" s="83" t="n">
        <v>46</v>
      </c>
      <c r="D34" s="83" t="s">
        <v>124</v>
      </c>
      <c r="E34" s="82" t="s">
        <v>93</v>
      </c>
      <c r="F34" s="82" t="s">
        <v>31</v>
      </c>
      <c r="G34" s="82" t="s">
        <v>35</v>
      </c>
      <c r="H34" s="83" t="n">
        <v>13</v>
      </c>
      <c r="I34" s="84" t="n">
        <v>14200</v>
      </c>
      <c r="J34" s="84" t="n">
        <v>184600</v>
      </c>
      <c r="K34" s="82" t="s">
        <v>135</v>
      </c>
      <c r="L34" s="83" t="n">
        <v>4</v>
      </c>
      <c r="M34" s="83" t="s">
        <v>160</v>
      </c>
      <c r="N34" s="85" t="n">
        <v>46086</v>
      </c>
    </row>
    <row r="35" customFormat="false" ht="15" hidden="false" customHeight="false" outlineLevel="0" collapsed="false">
      <c r="A35" s="82" t="s">
        <v>191</v>
      </c>
      <c r="B35" s="83" t="s">
        <v>130</v>
      </c>
      <c r="C35" s="83" t="n">
        <v>51</v>
      </c>
      <c r="D35" s="83" t="s">
        <v>124</v>
      </c>
      <c r="E35" s="82" t="s">
        <v>96</v>
      </c>
      <c r="F35" s="82" t="s">
        <v>31</v>
      </c>
      <c r="G35" s="82" t="s">
        <v>33</v>
      </c>
      <c r="H35" s="83" t="n">
        <v>19</v>
      </c>
      <c r="I35" s="84" t="n">
        <v>14600</v>
      </c>
      <c r="J35" s="84" t="n">
        <v>277400</v>
      </c>
      <c r="K35" s="82" t="s">
        <v>132</v>
      </c>
      <c r="L35" s="83" t="n">
        <v>3</v>
      </c>
      <c r="M35" s="83" t="s">
        <v>160</v>
      </c>
      <c r="N35" s="85" t="n">
        <v>46112</v>
      </c>
    </row>
    <row r="36" customFormat="false" ht="15" hidden="false" customHeight="false" outlineLevel="0" collapsed="false">
      <c r="A36" s="82" t="s">
        <v>192</v>
      </c>
      <c r="B36" s="83" t="s">
        <v>130</v>
      </c>
      <c r="C36" s="83" t="n">
        <v>44</v>
      </c>
      <c r="D36" s="83" t="s">
        <v>123</v>
      </c>
      <c r="E36" s="82" t="s">
        <v>99</v>
      </c>
      <c r="F36" s="82" t="s">
        <v>32</v>
      </c>
      <c r="G36" s="82" t="s">
        <v>33</v>
      </c>
      <c r="H36" s="83" t="n">
        <v>14</v>
      </c>
      <c r="I36" s="84" t="n">
        <v>23200</v>
      </c>
      <c r="J36" s="84" t="n">
        <v>324800</v>
      </c>
      <c r="K36" s="82" t="s">
        <v>134</v>
      </c>
      <c r="L36" s="83" t="n">
        <v>0</v>
      </c>
      <c r="M36" s="83" t="s">
        <v>160</v>
      </c>
      <c r="N36" s="85" t="n">
        <v>46284</v>
      </c>
    </row>
    <row r="37" customFormat="false" ht="15" hidden="false" customHeight="false" outlineLevel="0" collapsed="false">
      <c r="A37" s="82" t="s">
        <v>193</v>
      </c>
      <c r="B37" s="83" t="s">
        <v>130</v>
      </c>
      <c r="C37" s="83" t="n">
        <v>29</v>
      </c>
      <c r="D37" s="83" t="s">
        <v>121</v>
      </c>
      <c r="E37" s="82" t="s">
        <v>93</v>
      </c>
      <c r="F37" s="82" t="s">
        <v>30</v>
      </c>
      <c r="G37" s="82" t="s">
        <v>34</v>
      </c>
      <c r="H37" s="83" t="n">
        <v>22</v>
      </c>
      <c r="I37" s="84" t="n">
        <v>7900</v>
      </c>
      <c r="J37" s="84" t="n">
        <v>173800</v>
      </c>
      <c r="K37" s="82" t="s">
        <v>132</v>
      </c>
      <c r="L37" s="83" t="n">
        <v>1</v>
      </c>
      <c r="M37" s="83" t="s">
        <v>160</v>
      </c>
      <c r="N37" s="85" t="n">
        <v>46124</v>
      </c>
    </row>
    <row r="38" customFormat="false" ht="15" hidden="false" customHeight="false" outlineLevel="0" collapsed="false">
      <c r="A38" s="82" t="s">
        <v>194</v>
      </c>
      <c r="B38" s="83" t="s">
        <v>129</v>
      </c>
      <c r="C38" s="83" t="n">
        <v>20</v>
      </c>
      <c r="D38" s="83" t="s">
        <v>119</v>
      </c>
      <c r="E38" s="82" t="s">
        <v>93</v>
      </c>
      <c r="F38" s="82" t="s">
        <v>30</v>
      </c>
      <c r="G38" s="82" t="s">
        <v>33</v>
      </c>
      <c r="H38" s="83" t="n">
        <v>5</v>
      </c>
      <c r="I38" s="84" t="n">
        <v>8400</v>
      </c>
      <c r="J38" s="84" t="n">
        <v>42000</v>
      </c>
      <c r="K38" s="82" t="s">
        <v>134</v>
      </c>
      <c r="L38" s="83" t="n">
        <v>3</v>
      </c>
      <c r="M38" s="83" t="s">
        <v>157</v>
      </c>
      <c r="N38" s="85" t="n">
        <v>46025</v>
      </c>
    </row>
    <row r="39" customFormat="false" ht="15" hidden="false" customHeight="false" outlineLevel="0" collapsed="false">
      <c r="A39" s="82" t="s">
        <v>195</v>
      </c>
      <c r="B39" s="83" t="s">
        <v>129</v>
      </c>
      <c r="C39" s="83" t="n">
        <v>46</v>
      </c>
      <c r="D39" s="83" t="s">
        <v>124</v>
      </c>
      <c r="E39" s="82" t="s">
        <v>95</v>
      </c>
      <c r="F39" s="82" t="s">
        <v>30</v>
      </c>
      <c r="G39" s="82" t="s">
        <v>35</v>
      </c>
      <c r="H39" s="83" t="n">
        <v>34</v>
      </c>
      <c r="I39" s="84" t="n">
        <v>8500</v>
      </c>
      <c r="J39" s="84" t="n">
        <v>289000</v>
      </c>
      <c r="K39" s="82" t="s">
        <v>132</v>
      </c>
      <c r="L39" s="83" t="n">
        <v>0</v>
      </c>
      <c r="M39" s="83" t="s">
        <v>157</v>
      </c>
      <c r="N39" s="85" t="n">
        <v>46091</v>
      </c>
    </row>
    <row r="40" customFormat="false" ht="15" hidden="false" customHeight="false" outlineLevel="0" collapsed="false">
      <c r="A40" s="82" t="s">
        <v>196</v>
      </c>
      <c r="B40" s="83" t="s">
        <v>130</v>
      </c>
      <c r="C40" s="83" t="n">
        <v>61</v>
      </c>
      <c r="D40" s="83" t="s">
        <v>126</v>
      </c>
      <c r="E40" s="82" t="s">
        <v>99</v>
      </c>
      <c r="F40" s="82" t="s">
        <v>32</v>
      </c>
      <c r="G40" s="82" t="s">
        <v>34</v>
      </c>
      <c r="H40" s="83" t="n">
        <v>29</v>
      </c>
      <c r="I40" s="84" t="n">
        <v>23900</v>
      </c>
      <c r="J40" s="84" t="n">
        <v>693100</v>
      </c>
      <c r="K40" s="82" t="s">
        <v>134</v>
      </c>
      <c r="L40" s="83" t="n">
        <v>1</v>
      </c>
      <c r="M40" s="83" t="s">
        <v>160</v>
      </c>
      <c r="N40" s="85" t="n">
        <v>46266</v>
      </c>
    </row>
    <row r="41" customFormat="false" ht="15" hidden="false" customHeight="false" outlineLevel="0" collapsed="false">
      <c r="A41" s="82" t="s">
        <v>197</v>
      </c>
      <c r="B41" s="83" t="s">
        <v>130</v>
      </c>
      <c r="C41" s="83" t="n">
        <v>35</v>
      </c>
      <c r="D41" s="83" t="s">
        <v>123</v>
      </c>
      <c r="E41" s="82" t="s">
        <v>95</v>
      </c>
      <c r="F41" s="82" t="s">
        <v>32</v>
      </c>
      <c r="G41" s="82" t="s">
        <v>33</v>
      </c>
      <c r="H41" s="83" t="n">
        <v>34</v>
      </c>
      <c r="I41" s="84" t="n">
        <v>23400</v>
      </c>
      <c r="J41" s="84" t="n">
        <v>795600</v>
      </c>
      <c r="K41" s="82" t="s">
        <v>132</v>
      </c>
      <c r="L41" s="83" t="n">
        <v>0</v>
      </c>
      <c r="M41" s="83" t="s">
        <v>157</v>
      </c>
      <c r="N41" s="85" t="n">
        <v>46169</v>
      </c>
    </row>
    <row r="42" customFormat="false" ht="15" hidden="false" customHeight="false" outlineLevel="0" collapsed="false">
      <c r="A42" s="82" t="s">
        <v>198</v>
      </c>
      <c r="B42" s="83" t="s">
        <v>129</v>
      </c>
      <c r="C42" s="83" t="n">
        <v>36</v>
      </c>
      <c r="D42" s="83" t="s">
        <v>123</v>
      </c>
      <c r="E42" s="82" t="s">
        <v>96</v>
      </c>
      <c r="F42" s="82" t="s">
        <v>30</v>
      </c>
      <c r="G42" s="82" t="s">
        <v>34</v>
      </c>
      <c r="H42" s="83" t="n">
        <v>9</v>
      </c>
      <c r="I42" s="84" t="n">
        <v>8000</v>
      </c>
      <c r="J42" s="84" t="n">
        <v>72000</v>
      </c>
      <c r="K42" s="82" t="s">
        <v>132</v>
      </c>
      <c r="L42" s="83" t="n">
        <v>1</v>
      </c>
      <c r="M42" s="83" t="s">
        <v>160</v>
      </c>
      <c r="N42" s="85" t="n">
        <v>46261</v>
      </c>
    </row>
    <row r="43" customFormat="false" ht="15" hidden="false" customHeight="false" outlineLevel="0" collapsed="false">
      <c r="A43" s="82" t="s">
        <v>199</v>
      </c>
      <c r="B43" s="83" t="s">
        <v>130</v>
      </c>
      <c r="C43" s="83" t="n">
        <v>22</v>
      </c>
      <c r="D43" s="83" t="s">
        <v>119</v>
      </c>
      <c r="E43" s="82" t="s">
        <v>95</v>
      </c>
      <c r="F43" s="82" t="s">
        <v>32</v>
      </c>
      <c r="G43" s="82" t="s">
        <v>33</v>
      </c>
      <c r="H43" s="83" t="n">
        <v>2</v>
      </c>
      <c r="I43" s="84" t="n">
        <v>24800</v>
      </c>
      <c r="J43" s="84" t="n">
        <v>49600</v>
      </c>
      <c r="K43" s="82" t="s">
        <v>134</v>
      </c>
      <c r="L43" s="83" t="n">
        <v>2</v>
      </c>
      <c r="M43" s="83" t="s">
        <v>160</v>
      </c>
      <c r="N43" s="85" t="n">
        <v>46175</v>
      </c>
    </row>
    <row r="44" customFormat="false" ht="15" hidden="false" customHeight="false" outlineLevel="0" collapsed="false">
      <c r="A44" s="82" t="s">
        <v>200</v>
      </c>
      <c r="B44" s="83" t="s">
        <v>130</v>
      </c>
      <c r="C44" s="83" t="n">
        <v>45</v>
      </c>
      <c r="D44" s="83" t="s">
        <v>124</v>
      </c>
      <c r="E44" s="82" t="s">
        <v>99</v>
      </c>
      <c r="F44" s="82" t="s">
        <v>31</v>
      </c>
      <c r="G44" s="82" t="s">
        <v>34</v>
      </c>
      <c r="H44" s="83" t="n">
        <v>15</v>
      </c>
      <c r="I44" s="84" t="n">
        <v>14500</v>
      </c>
      <c r="J44" s="84" t="n">
        <v>217500</v>
      </c>
      <c r="K44" s="82" t="s">
        <v>134</v>
      </c>
      <c r="L44" s="83" t="n">
        <v>1</v>
      </c>
      <c r="M44" s="83" t="s">
        <v>160</v>
      </c>
      <c r="N44" s="85" t="n">
        <v>46230</v>
      </c>
    </row>
    <row r="45" customFormat="false" ht="15" hidden="false" customHeight="false" outlineLevel="0" collapsed="false">
      <c r="A45" s="82" t="s">
        <v>201</v>
      </c>
      <c r="B45" s="83" t="s">
        <v>129</v>
      </c>
      <c r="C45" s="83" t="n">
        <v>48</v>
      </c>
      <c r="D45" s="83" t="s">
        <v>124</v>
      </c>
      <c r="E45" s="82" t="s">
        <v>95</v>
      </c>
      <c r="F45" s="82" t="s">
        <v>32</v>
      </c>
      <c r="G45" s="82" t="s">
        <v>34</v>
      </c>
      <c r="H45" s="83" t="n">
        <v>26</v>
      </c>
      <c r="I45" s="84" t="n">
        <v>23800</v>
      </c>
      <c r="J45" s="84" t="n">
        <v>618800</v>
      </c>
      <c r="K45" s="82" t="s">
        <v>133</v>
      </c>
      <c r="L45" s="83" t="n">
        <v>4</v>
      </c>
      <c r="M45" s="83" t="s">
        <v>160</v>
      </c>
      <c r="N45" s="85" t="n">
        <v>46259</v>
      </c>
    </row>
    <row r="46" customFormat="false" ht="15" hidden="false" customHeight="false" outlineLevel="0" collapsed="false">
      <c r="A46" s="82" t="s">
        <v>202</v>
      </c>
      <c r="B46" s="83" t="s">
        <v>129</v>
      </c>
      <c r="C46" s="83" t="n">
        <v>22</v>
      </c>
      <c r="D46" s="83" t="s">
        <v>119</v>
      </c>
      <c r="E46" s="82" t="s">
        <v>96</v>
      </c>
      <c r="F46" s="82" t="s">
        <v>30</v>
      </c>
      <c r="G46" s="82" t="s">
        <v>33</v>
      </c>
      <c r="H46" s="83" t="n">
        <v>21</v>
      </c>
      <c r="I46" s="84" t="n">
        <v>8300</v>
      </c>
      <c r="J46" s="84" t="n">
        <v>174300</v>
      </c>
      <c r="K46" s="82" t="s">
        <v>134</v>
      </c>
      <c r="L46" s="83" t="n">
        <v>3</v>
      </c>
      <c r="M46" s="83" t="s">
        <v>157</v>
      </c>
      <c r="N46" s="85" t="n">
        <v>46032</v>
      </c>
    </row>
    <row r="47" customFormat="false" ht="15" hidden="false" customHeight="false" outlineLevel="0" collapsed="false">
      <c r="A47" s="82" t="s">
        <v>203</v>
      </c>
      <c r="B47" s="83" t="s">
        <v>129</v>
      </c>
      <c r="C47" s="83" t="n">
        <v>41</v>
      </c>
      <c r="D47" s="83" t="s">
        <v>123</v>
      </c>
      <c r="E47" s="82" t="s">
        <v>95</v>
      </c>
      <c r="F47" s="82" t="s">
        <v>31</v>
      </c>
      <c r="G47" s="82" t="s">
        <v>35</v>
      </c>
      <c r="H47" s="83" t="n">
        <v>3</v>
      </c>
      <c r="I47" s="84" t="n">
        <v>15100</v>
      </c>
      <c r="J47" s="84" t="n">
        <v>45300</v>
      </c>
      <c r="K47" s="82" t="s">
        <v>132</v>
      </c>
      <c r="L47" s="83" t="n">
        <v>1</v>
      </c>
      <c r="M47" s="83" t="s">
        <v>157</v>
      </c>
      <c r="N47" s="85" t="n">
        <v>46101</v>
      </c>
    </row>
    <row r="48" customFormat="false" ht="15" hidden="false" customHeight="false" outlineLevel="0" collapsed="false">
      <c r="A48" s="82" t="s">
        <v>204</v>
      </c>
      <c r="B48" s="83" t="s">
        <v>129</v>
      </c>
      <c r="C48" s="83" t="n">
        <v>27</v>
      </c>
      <c r="D48" s="83" t="s">
        <v>121</v>
      </c>
      <c r="E48" s="82" t="s">
        <v>98</v>
      </c>
      <c r="F48" s="82" t="s">
        <v>31</v>
      </c>
      <c r="G48" s="82" t="s">
        <v>34</v>
      </c>
      <c r="H48" s="83" t="n">
        <v>14</v>
      </c>
      <c r="I48" s="84" t="n">
        <v>14400</v>
      </c>
      <c r="J48" s="84" t="n">
        <v>201600</v>
      </c>
      <c r="K48" s="82" t="s">
        <v>133</v>
      </c>
      <c r="L48" s="83" t="n">
        <v>2</v>
      </c>
      <c r="M48" s="83" t="s">
        <v>157</v>
      </c>
      <c r="N48" s="85" t="n">
        <v>46182</v>
      </c>
    </row>
    <row r="49" customFormat="false" ht="15" hidden="false" customHeight="false" outlineLevel="0" collapsed="false">
      <c r="A49" s="82" t="s">
        <v>205</v>
      </c>
      <c r="B49" s="83" t="s">
        <v>129</v>
      </c>
      <c r="C49" s="83" t="n">
        <v>56</v>
      </c>
      <c r="D49" s="83" t="s">
        <v>126</v>
      </c>
      <c r="E49" s="82" t="s">
        <v>93</v>
      </c>
      <c r="F49" s="82" t="s">
        <v>32</v>
      </c>
      <c r="G49" s="82" t="s">
        <v>34</v>
      </c>
      <c r="H49" s="83" t="n">
        <v>25</v>
      </c>
      <c r="I49" s="84" t="n">
        <v>23100</v>
      </c>
      <c r="J49" s="84" t="n">
        <v>577500</v>
      </c>
      <c r="K49" s="82" t="s">
        <v>132</v>
      </c>
      <c r="L49" s="83" t="n">
        <v>3</v>
      </c>
      <c r="M49" s="83" t="s">
        <v>160</v>
      </c>
      <c r="N49" s="85" t="n">
        <v>46147</v>
      </c>
    </row>
    <row r="50" customFormat="false" ht="15" hidden="false" customHeight="false" outlineLevel="0" collapsed="false">
      <c r="A50" s="82" t="s">
        <v>206</v>
      </c>
      <c r="B50" s="83" t="s">
        <v>129</v>
      </c>
      <c r="C50" s="83" t="n">
        <v>38</v>
      </c>
      <c r="D50" s="83" t="s">
        <v>123</v>
      </c>
      <c r="E50" s="82" t="s">
        <v>99</v>
      </c>
      <c r="F50" s="82" t="s">
        <v>31</v>
      </c>
      <c r="G50" s="82" t="s">
        <v>35</v>
      </c>
      <c r="H50" s="83" t="n">
        <v>3</v>
      </c>
      <c r="I50" s="84" t="n">
        <v>14100</v>
      </c>
      <c r="J50" s="84" t="n">
        <v>42300</v>
      </c>
      <c r="K50" s="82" t="s">
        <v>135</v>
      </c>
      <c r="L50" s="83" t="n">
        <v>0</v>
      </c>
      <c r="M50" s="83" t="s">
        <v>160</v>
      </c>
      <c r="N50" s="85" t="n">
        <v>46273</v>
      </c>
    </row>
    <row r="51" customFormat="false" ht="15" hidden="false" customHeight="false" outlineLevel="0" collapsed="false">
      <c r="A51" s="82" t="s">
        <v>207</v>
      </c>
      <c r="B51" s="83" t="s">
        <v>129</v>
      </c>
      <c r="C51" s="83" t="n">
        <v>46</v>
      </c>
      <c r="D51" s="83" t="s">
        <v>124</v>
      </c>
      <c r="E51" s="82" t="s">
        <v>96</v>
      </c>
      <c r="F51" s="82" t="s">
        <v>31</v>
      </c>
      <c r="G51" s="82" t="s">
        <v>35</v>
      </c>
      <c r="H51" s="83" t="n">
        <v>10</v>
      </c>
      <c r="I51" s="84" t="n">
        <v>14400</v>
      </c>
      <c r="J51" s="84" t="n">
        <v>144000</v>
      </c>
      <c r="K51" s="82" t="s">
        <v>135</v>
      </c>
      <c r="L51" s="83" t="n">
        <v>2</v>
      </c>
      <c r="M51" s="83" t="s">
        <v>160</v>
      </c>
      <c r="N51" s="85" t="n">
        <v>46270</v>
      </c>
    </row>
    <row r="52" customFormat="false" ht="15" hidden="false" customHeight="false" outlineLevel="0" collapsed="false">
      <c r="A52" s="82" t="s">
        <v>208</v>
      </c>
      <c r="B52" s="83" t="s">
        <v>130</v>
      </c>
      <c r="C52" s="83" t="n">
        <v>46</v>
      </c>
      <c r="D52" s="83" t="s">
        <v>124</v>
      </c>
      <c r="E52" s="82" t="s">
        <v>99</v>
      </c>
      <c r="F52" s="82" t="s">
        <v>30</v>
      </c>
      <c r="G52" s="82" t="s">
        <v>35</v>
      </c>
      <c r="H52" s="83" t="n">
        <v>6</v>
      </c>
      <c r="I52" s="84" t="n">
        <v>8200</v>
      </c>
      <c r="J52" s="84" t="n">
        <v>49200</v>
      </c>
      <c r="K52" s="82" t="s">
        <v>134</v>
      </c>
      <c r="L52" s="83" t="n">
        <v>0</v>
      </c>
      <c r="M52" s="83" t="s">
        <v>160</v>
      </c>
      <c r="N52" s="85" t="n">
        <v>46189</v>
      </c>
    </row>
    <row r="53" customFormat="false" ht="15" hidden="false" customHeight="false" outlineLevel="0" collapsed="false">
      <c r="A53" s="82" t="s">
        <v>209</v>
      </c>
      <c r="B53" s="83" t="s">
        <v>129</v>
      </c>
      <c r="C53" s="83" t="n">
        <v>50</v>
      </c>
      <c r="D53" s="83" t="s">
        <v>124</v>
      </c>
      <c r="E53" s="82" t="s">
        <v>95</v>
      </c>
      <c r="F53" s="82" t="s">
        <v>30</v>
      </c>
      <c r="G53" s="82" t="s">
        <v>33</v>
      </c>
      <c r="H53" s="83" t="n">
        <v>18</v>
      </c>
      <c r="I53" s="84" t="n">
        <v>9000</v>
      </c>
      <c r="J53" s="84" t="n">
        <v>162000</v>
      </c>
      <c r="K53" s="82" t="s">
        <v>135</v>
      </c>
      <c r="L53" s="83" t="n">
        <v>3</v>
      </c>
      <c r="M53" s="83" t="s">
        <v>160</v>
      </c>
      <c r="N53" s="85" t="n">
        <v>46120</v>
      </c>
    </row>
    <row r="54" customFormat="false" ht="15" hidden="false" customHeight="false" outlineLevel="0" collapsed="false">
      <c r="A54" s="82" t="s">
        <v>210</v>
      </c>
      <c r="B54" s="83" t="s">
        <v>129</v>
      </c>
      <c r="C54" s="83" t="n">
        <v>34</v>
      </c>
      <c r="D54" s="83" t="s">
        <v>121</v>
      </c>
      <c r="E54" s="82" t="s">
        <v>98</v>
      </c>
      <c r="F54" s="82" t="s">
        <v>31</v>
      </c>
      <c r="G54" s="82" t="s">
        <v>35</v>
      </c>
      <c r="H54" s="83" t="n">
        <v>31</v>
      </c>
      <c r="I54" s="84" t="n">
        <v>14800</v>
      </c>
      <c r="J54" s="84" t="n">
        <v>458800</v>
      </c>
      <c r="K54" s="82" t="s">
        <v>133</v>
      </c>
      <c r="L54" s="83" t="n">
        <v>0</v>
      </c>
      <c r="M54" s="83" t="s">
        <v>160</v>
      </c>
      <c r="N54" s="85" t="n">
        <v>46147</v>
      </c>
    </row>
    <row r="55" customFormat="false" ht="15" hidden="false" customHeight="false" outlineLevel="0" collapsed="false">
      <c r="A55" s="82" t="s">
        <v>211</v>
      </c>
      <c r="B55" s="83" t="s">
        <v>130</v>
      </c>
      <c r="C55" s="83" t="n">
        <v>61</v>
      </c>
      <c r="D55" s="83" t="s">
        <v>126</v>
      </c>
      <c r="E55" s="82" t="s">
        <v>99</v>
      </c>
      <c r="F55" s="82" t="s">
        <v>30</v>
      </c>
      <c r="G55" s="82" t="s">
        <v>34</v>
      </c>
      <c r="H55" s="83" t="n">
        <v>23</v>
      </c>
      <c r="I55" s="84" t="n">
        <v>8400</v>
      </c>
      <c r="J55" s="84" t="n">
        <v>193200</v>
      </c>
      <c r="K55" s="82" t="s">
        <v>135</v>
      </c>
      <c r="L55" s="83" t="n">
        <v>2</v>
      </c>
      <c r="M55" s="83" t="s">
        <v>160</v>
      </c>
      <c r="N55" s="85" t="n">
        <v>46179</v>
      </c>
    </row>
    <row r="56" customFormat="false" ht="15" hidden="false" customHeight="false" outlineLevel="0" collapsed="false">
      <c r="A56" s="82" t="s">
        <v>212</v>
      </c>
      <c r="B56" s="83" t="s">
        <v>130</v>
      </c>
      <c r="C56" s="83" t="n">
        <v>33</v>
      </c>
      <c r="D56" s="83" t="s">
        <v>121</v>
      </c>
      <c r="E56" s="82" t="s">
        <v>93</v>
      </c>
      <c r="F56" s="82" t="s">
        <v>31</v>
      </c>
      <c r="G56" s="82" t="s">
        <v>33</v>
      </c>
      <c r="H56" s="83" t="n">
        <v>35</v>
      </c>
      <c r="I56" s="84" t="n">
        <v>15500</v>
      </c>
      <c r="J56" s="84" t="n">
        <v>542500</v>
      </c>
      <c r="K56" s="82" t="s">
        <v>134</v>
      </c>
      <c r="L56" s="83" t="n">
        <v>1</v>
      </c>
      <c r="M56" s="83" t="s">
        <v>160</v>
      </c>
      <c r="N56" s="85" t="n">
        <v>46291</v>
      </c>
    </row>
    <row r="57" customFormat="false" ht="15" hidden="false" customHeight="false" outlineLevel="0" collapsed="false">
      <c r="A57" s="82" t="s">
        <v>213</v>
      </c>
      <c r="B57" s="83" t="s">
        <v>130</v>
      </c>
      <c r="C57" s="83" t="n">
        <v>25</v>
      </c>
      <c r="D57" s="83" t="s">
        <v>121</v>
      </c>
      <c r="E57" s="82" t="s">
        <v>95</v>
      </c>
      <c r="F57" s="82" t="s">
        <v>30</v>
      </c>
      <c r="G57" s="82" t="s">
        <v>33</v>
      </c>
      <c r="H57" s="83" t="n">
        <v>20</v>
      </c>
      <c r="I57" s="84" t="n">
        <v>7800</v>
      </c>
      <c r="J57" s="84" t="n">
        <v>156000</v>
      </c>
      <c r="K57" s="82" t="s">
        <v>132</v>
      </c>
      <c r="L57" s="83" t="n">
        <v>1</v>
      </c>
      <c r="M57" s="83" t="s">
        <v>160</v>
      </c>
      <c r="N57" s="85" t="n">
        <v>46172</v>
      </c>
    </row>
    <row r="58" customFormat="false" ht="15" hidden="false" customHeight="false" outlineLevel="0" collapsed="false">
      <c r="A58" s="82" t="s">
        <v>214</v>
      </c>
      <c r="B58" s="83" t="s">
        <v>129</v>
      </c>
      <c r="C58" s="83" t="n">
        <v>59</v>
      </c>
      <c r="D58" s="83" t="s">
        <v>126</v>
      </c>
      <c r="E58" s="82" t="s">
        <v>98</v>
      </c>
      <c r="F58" s="82" t="s">
        <v>30</v>
      </c>
      <c r="G58" s="82" t="s">
        <v>33</v>
      </c>
      <c r="H58" s="83" t="n">
        <v>19</v>
      </c>
      <c r="I58" s="84" t="n">
        <v>8500</v>
      </c>
      <c r="J58" s="84" t="n">
        <v>161500</v>
      </c>
      <c r="K58" s="82" t="s">
        <v>133</v>
      </c>
      <c r="L58" s="83" t="n">
        <v>1</v>
      </c>
      <c r="M58" s="83" t="s">
        <v>160</v>
      </c>
      <c r="N58" s="85" t="n">
        <v>46081</v>
      </c>
    </row>
    <row r="59" customFormat="false" ht="15" hidden="false" customHeight="false" outlineLevel="0" collapsed="false">
      <c r="A59" s="82" t="s">
        <v>215</v>
      </c>
      <c r="B59" s="83" t="s">
        <v>129</v>
      </c>
      <c r="C59" s="83" t="n">
        <v>44</v>
      </c>
      <c r="D59" s="83" t="s">
        <v>123</v>
      </c>
      <c r="E59" s="82" t="s">
        <v>98</v>
      </c>
      <c r="F59" s="82" t="s">
        <v>30</v>
      </c>
      <c r="G59" s="82" t="s">
        <v>34</v>
      </c>
      <c r="H59" s="83" t="n">
        <v>4</v>
      </c>
      <c r="I59" s="84" t="n">
        <v>8000</v>
      </c>
      <c r="J59" s="84" t="n">
        <v>32000</v>
      </c>
      <c r="K59" s="82" t="s">
        <v>135</v>
      </c>
      <c r="L59" s="83" t="n">
        <v>2</v>
      </c>
      <c r="M59" s="83" t="s">
        <v>157</v>
      </c>
      <c r="N59" s="85" t="n">
        <v>46236</v>
      </c>
    </row>
    <row r="60" customFormat="false" ht="15" hidden="false" customHeight="false" outlineLevel="0" collapsed="false">
      <c r="A60" s="82" t="s">
        <v>216</v>
      </c>
      <c r="B60" s="83" t="s">
        <v>129</v>
      </c>
      <c r="C60" s="83" t="n">
        <v>52</v>
      </c>
      <c r="D60" s="83" t="s">
        <v>124</v>
      </c>
      <c r="E60" s="82" t="s">
        <v>98</v>
      </c>
      <c r="F60" s="82" t="s">
        <v>31</v>
      </c>
      <c r="G60" s="82" t="s">
        <v>33</v>
      </c>
      <c r="H60" s="83" t="n">
        <v>28</v>
      </c>
      <c r="I60" s="84" t="n">
        <v>14000</v>
      </c>
      <c r="J60" s="84" t="n">
        <v>392000</v>
      </c>
      <c r="K60" s="82" t="s">
        <v>133</v>
      </c>
      <c r="L60" s="83" t="n">
        <v>0</v>
      </c>
      <c r="M60" s="83" t="s">
        <v>157</v>
      </c>
      <c r="N60" s="85" t="n">
        <v>46131</v>
      </c>
    </row>
    <row r="61" customFormat="false" ht="15" hidden="false" customHeight="false" outlineLevel="0" collapsed="false">
      <c r="A61" s="82" t="s">
        <v>217</v>
      </c>
      <c r="B61" s="83" t="s">
        <v>130</v>
      </c>
      <c r="C61" s="83" t="n">
        <v>61</v>
      </c>
      <c r="D61" s="83" t="s">
        <v>126</v>
      </c>
      <c r="E61" s="82" t="s">
        <v>93</v>
      </c>
      <c r="F61" s="82" t="s">
        <v>30</v>
      </c>
      <c r="G61" s="82" t="s">
        <v>33</v>
      </c>
      <c r="H61" s="83" t="n">
        <v>5</v>
      </c>
      <c r="I61" s="84" t="n">
        <v>8000</v>
      </c>
      <c r="J61" s="84" t="n">
        <v>40000</v>
      </c>
      <c r="K61" s="82" t="s">
        <v>134</v>
      </c>
      <c r="L61" s="83" t="n">
        <v>0</v>
      </c>
      <c r="M61" s="83" t="s">
        <v>160</v>
      </c>
      <c r="N61" s="85" t="n">
        <v>46172</v>
      </c>
    </row>
    <row r="62" customFormat="false" ht="15" hidden="false" customHeight="false" outlineLevel="0" collapsed="false">
      <c r="A62" s="82" t="s">
        <v>218</v>
      </c>
      <c r="B62" s="83" t="s">
        <v>129</v>
      </c>
      <c r="C62" s="83" t="n">
        <v>33</v>
      </c>
      <c r="D62" s="83" t="s">
        <v>121</v>
      </c>
      <c r="E62" s="82" t="s">
        <v>96</v>
      </c>
      <c r="F62" s="82" t="s">
        <v>31</v>
      </c>
      <c r="G62" s="82" t="s">
        <v>34</v>
      </c>
      <c r="H62" s="83" t="n">
        <v>30</v>
      </c>
      <c r="I62" s="84" t="n">
        <v>13500</v>
      </c>
      <c r="J62" s="84" t="n">
        <v>405000</v>
      </c>
      <c r="K62" s="82" t="s">
        <v>132</v>
      </c>
      <c r="L62" s="83" t="n">
        <v>2</v>
      </c>
      <c r="M62" s="83" t="s">
        <v>160</v>
      </c>
      <c r="N62" s="85" t="n">
        <v>46099</v>
      </c>
    </row>
    <row r="63" customFormat="false" ht="15" hidden="false" customHeight="false" outlineLevel="0" collapsed="false">
      <c r="A63" s="82" t="s">
        <v>219</v>
      </c>
      <c r="B63" s="83" t="s">
        <v>130</v>
      </c>
      <c r="C63" s="83" t="n">
        <v>28</v>
      </c>
      <c r="D63" s="83" t="s">
        <v>121</v>
      </c>
      <c r="E63" s="82" t="s">
        <v>93</v>
      </c>
      <c r="F63" s="82" t="s">
        <v>30</v>
      </c>
      <c r="G63" s="82" t="s">
        <v>35</v>
      </c>
      <c r="H63" s="83" t="n">
        <v>19</v>
      </c>
      <c r="I63" s="84" t="n">
        <v>8400</v>
      </c>
      <c r="J63" s="84" t="n">
        <v>159600</v>
      </c>
      <c r="K63" s="82" t="s">
        <v>134</v>
      </c>
      <c r="L63" s="83" t="n">
        <v>3</v>
      </c>
      <c r="M63" s="83" t="s">
        <v>160</v>
      </c>
      <c r="N63" s="85" t="n">
        <v>46162</v>
      </c>
    </row>
    <row r="64" customFormat="false" ht="15" hidden="false" customHeight="false" outlineLevel="0" collapsed="false">
      <c r="A64" s="82" t="s">
        <v>220</v>
      </c>
      <c r="B64" s="83" t="s">
        <v>130</v>
      </c>
      <c r="C64" s="83" t="n">
        <v>47</v>
      </c>
      <c r="D64" s="83" t="s">
        <v>124</v>
      </c>
      <c r="E64" s="82" t="s">
        <v>93</v>
      </c>
      <c r="F64" s="82" t="s">
        <v>31</v>
      </c>
      <c r="G64" s="82" t="s">
        <v>35</v>
      </c>
      <c r="H64" s="83" t="n">
        <v>21</v>
      </c>
      <c r="I64" s="84" t="n">
        <v>14700</v>
      </c>
      <c r="J64" s="84" t="n">
        <v>308700</v>
      </c>
      <c r="K64" s="82" t="s">
        <v>133</v>
      </c>
      <c r="L64" s="83" t="n">
        <v>3</v>
      </c>
      <c r="M64" s="83" t="s">
        <v>160</v>
      </c>
      <c r="N64" s="85" t="n">
        <v>46160</v>
      </c>
    </row>
    <row r="65" customFormat="false" ht="15" hidden="false" customHeight="false" outlineLevel="0" collapsed="false">
      <c r="A65" s="82" t="s">
        <v>221</v>
      </c>
      <c r="B65" s="83" t="s">
        <v>129</v>
      </c>
      <c r="C65" s="83" t="n">
        <v>30</v>
      </c>
      <c r="D65" s="83" t="s">
        <v>121</v>
      </c>
      <c r="E65" s="82" t="s">
        <v>98</v>
      </c>
      <c r="F65" s="82" t="s">
        <v>31</v>
      </c>
      <c r="G65" s="82" t="s">
        <v>33</v>
      </c>
      <c r="H65" s="83" t="n">
        <v>18</v>
      </c>
      <c r="I65" s="84" t="n">
        <v>13800</v>
      </c>
      <c r="J65" s="84" t="n">
        <v>248400</v>
      </c>
      <c r="K65" s="82" t="s">
        <v>134</v>
      </c>
      <c r="L65" s="83" t="n">
        <v>2</v>
      </c>
      <c r="M65" s="83" t="s">
        <v>160</v>
      </c>
      <c r="N65" s="85" t="n">
        <v>46069</v>
      </c>
    </row>
    <row r="66" customFormat="false" ht="15" hidden="false" customHeight="false" outlineLevel="0" collapsed="false">
      <c r="A66" s="82" t="s">
        <v>222</v>
      </c>
      <c r="B66" s="83" t="s">
        <v>130</v>
      </c>
      <c r="C66" s="83" t="n">
        <v>41</v>
      </c>
      <c r="D66" s="83" t="s">
        <v>123</v>
      </c>
      <c r="E66" s="82" t="s">
        <v>98</v>
      </c>
      <c r="F66" s="82" t="s">
        <v>30</v>
      </c>
      <c r="G66" s="82" t="s">
        <v>34</v>
      </c>
      <c r="H66" s="83" t="n">
        <v>11</v>
      </c>
      <c r="I66" s="84" t="n">
        <v>8300</v>
      </c>
      <c r="J66" s="84" t="n">
        <v>91300</v>
      </c>
      <c r="K66" s="82" t="s">
        <v>134</v>
      </c>
      <c r="L66" s="83" t="n">
        <v>1</v>
      </c>
      <c r="M66" s="83" t="s">
        <v>160</v>
      </c>
      <c r="N66" s="85" t="n">
        <v>46255</v>
      </c>
    </row>
    <row r="67" customFormat="false" ht="15" hidden="false" customHeight="false" outlineLevel="0" collapsed="false">
      <c r="A67" s="82" t="s">
        <v>223</v>
      </c>
      <c r="B67" s="83" t="s">
        <v>129</v>
      </c>
      <c r="C67" s="83" t="n">
        <v>39</v>
      </c>
      <c r="D67" s="83" t="s">
        <v>123</v>
      </c>
      <c r="E67" s="82" t="s">
        <v>96</v>
      </c>
      <c r="F67" s="82" t="s">
        <v>30</v>
      </c>
      <c r="G67" s="82" t="s">
        <v>35</v>
      </c>
      <c r="H67" s="83" t="n">
        <v>26</v>
      </c>
      <c r="I67" s="84" t="n">
        <v>9000</v>
      </c>
      <c r="J67" s="84" t="n">
        <v>234000</v>
      </c>
      <c r="K67" s="82" t="s">
        <v>133</v>
      </c>
      <c r="L67" s="83" t="n">
        <v>0</v>
      </c>
      <c r="M67" s="83" t="s">
        <v>160</v>
      </c>
      <c r="N67" s="85" t="n">
        <v>46234</v>
      </c>
    </row>
    <row r="68" customFormat="false" ht="15" hidden="false" customHeight="false" outlineLevel="0" collapsed="false">
      <c r="A68" s="82" t="s">
        <v>224</v>
      </c>
      <c r="B68" s="83" t="s">
        <v>129</v>
      </c>
      <c r="C68" s="83" t="n">
        <v>31</v>
      </c>
      <c r="D68" s="83" t="s">
        <v>121</v>
      </c>
      <c r="E68" s="82" t="s">
        <v>99</v>
      </c>
      <c r="F68" s="82" t="s">
        <v>30</v>
      </c>
      <c r="G68" s="82" t="s">
        <v>35</v>
      </c>
      <c r="H68" s="83" t="n">
        <v>29</v>
      </c>
      <c r="I68" s="84" t="n">
        <v>8900</v>
      </c>
      <c r="J68" s="84" t="n">
        <v>258100</v>
      </c>
      <c r="K68" s="82" t="s">
        <v>135</v>
      </c>
      <c r="L68" s="83" t="n">
        <v>2</v>
      </c>
      <c r="M68" s="83" t="s">
        <v>160</v>
      </c>
      <c r="N68" s="85" t="n">
        <v>46085</v>
      </c>
    </row>
    <row r="69" customFormat="false" ht="15" hidden="false" customHeight="false" outlineLevel="0" collapsed="false">
      <c r="A69" s="82" t="s">
        <v>225</v>
      </c>
      <c r="B69" s="83" t="s">
        <v>129</v>
      </c>
      <c r="C69" s="83" t="n">
        <v>59</v>
      </c>
      <c r="D69" s="83" t="s">
        <v>126</v>
      </c>
      <c r="E69" s="82" t="s">
        <v>99</v>
      </c>
      <c r="F69" s="82" t="s">
        <v>31</v>
      </c>
      <c r="G69" s="82" t="s">
        <v>34</v>
      </c>
      <c r="H69" s="83" t="n">
        <v>20</v>
      </c>
      <c r="I69" s="84" t="n">
        <v>14600</v>
      </c>
      <c r="J69" s="84" t="n">
        <v>292000</v>
      </c>
      <c r="K69" s="82" t="s">
        <v>134</v>
      </c>
      <c r="L69" s="83" t="n">
        <v>4</v>
      </c>
      <c r="M69" s="83" t="s">
        <v>160</v>
      </c>
      <c r="N69" s="85" t="n">
        <v>46081</v>
      </c>
    </row>
    <row r="70" customFormat="false" ht="15" hidden="false" customHeight="false" outlineLevel="0" collapsed="false">
      <c r="A70" s="82" t="s">
        <v>226</v>
      </c>
      <c r="B70" s="83" t="s">
        <v>130</v>
      </c>
      <c r="C70" s="83" t="n">
        <v>26</v>
      </c>
      <c r="D70" s="83" t="s">
        <v>121</v>
      </c>
      <c r="E70" s="82" t="s">
        <v>95</v>
      </c>
      <c r="F70" s="82" t="s">
        <v>31</v>
      </c>
      <c r="G70" s="82" t="s">
        <v>34</v>
      </c>
      <c r="H70" s="83" t="n">
        <v>33</v>
      </c>
      <c r="I70" s="84" t="n">
        <v>15000</v>
      </c>
      <c r="J70" s="84" t="n">
        <v>495000</v>
      </c>
      <c r="K70" s="82" t="s">
        <v>134</v>
      </c>
      <c r="L70" s="83" t="n">
        <v>0</v>
      </c>
      <c r="M70" s="83" t="s">
        <v>160</v>
      </c>
      <c r="N70" s="85" t="n">
        <v>46219</v>
      </c>
    </row>
    <row r="71" customFormat="false" ht="15" hidden="false" customHeight="false" outlineLevel="0" collapsed="false">
      <c r="A71" s="82" t="s">
        <v>227</v>
      </c>
      <c r="B71" s="83" t="s">
        <v>129</v>
      </c>
      <c r="C71" s="83" t="n">
        <v>57</v>
      </c>
      <c r="D71" s="83" t="s">
        <v>126</v>
      </c>
      <c r="E71" s="82" t="s">
        <v>99</v>
      </c>
      <c r="F71" s="82" t="s">
        <v>31</v>
      </c>
      <c r="G71" s="82" t="s">
        <v>33</v>
      </c>
      <c r="H71" s="83" t="n">
        <v>5</v>
      </c>
      <c r="I71" s="84" t="n">
        <v>14000</v>
      </c>
      <c r="J71" s="84" t="n">
        <v>70000</v>
      </c>
      <c r="K71" s="82" t="s">
        <v>134</v>
      </c>
      <c r="L71" s="83" t="n">
        <v>3</v>
      </c>
      <c r="M71" s="83" t="s">
        <v>160</v>
      </c>
      <c r="N71" s="85" t="n">
        <v>46159</v>
      </c>
    </row>
    <row r="72" customFormat="false" ht="15" hidden="false" customHeight="false" outlineLevel="0" collapsed="false">
      <c r="A72" s="82" t="s">
        <v>228</v>
      </c>
      <c r="B72" s="83" t="s">
        <v>129</v>
      </c>
      <c r="C72" s="83" t="n">
        <v>37</v>
      </c>
      <c r="D72" s="83" t="s">
        <v>123</v>
      </c>
      <c r="E72" s="82" t="s">
        <v>96</v>
      </c>
      <c r="F72" s="82" t="s">
        <v>32</v>
      </c>
      <c r="G72" s="82" t="s">
        <v>34</v>
      </c>
      <c r="H72" s="83" t="n">
        <v>32</v>
      </c>
      <c r="I72" s="84" t="n">
        <v>24900</v>
      </c>
      <c r="J72" s="84" t="n">
        <v>796800</v>
      </c>
      <c r="K72" s="82" t="s">
        <v>135</v>
      </c>
      <c r="L72" s="83" t="n">
        <v>0</v>
      </c>
      <c r="M72" s="83" t="s">
        <v>160</v>
      </c>
      <c r="N72" s="85" t="n">
        <v>46256</v>
      </c>
    </row>
    <row r="73" customFormat="false" ht="15" hidden="false" customHeight="false" outlineLevel="0" collapsed="false">
      <c r="A73" s="82" t="s">
        <v>229</v>
      </c>
      <c r="B73" s="83" t="s">
        <v>130</v>
      </c>
      <c r="C73" s="83" t="n">
        <v>31</v>
      </c>
      <c r="D73" s="83" t="s">
        <v>121</v>
      </c>
      <c r="E73" s="82" t="s">
        <v>95</v>
      </c>
      <c r="F73" s="82" t="s">
        <v>31</v>
      </c>
      <c r="G73" s="82" t="s">
        <v>33</v>
      </c>
      <c r="H73" s="83" t="n">
        <v>27</v>
      </c>
      <c r="I73" s="84" t="n">
        <v>13400</v>
      </c>
      <c r="J73" s="84" t="n">
        <v>361800</v>
      </c>
      <c r="K73" s="82" t="s">
        <v>134</v>
      </c>
      <c r="L73" s="83" t="n">
        <v>2</v>
      </c>
      <c r="M73" s="83" t="s">
        <v>160</v>
      </c>
      <c r="N73" s="85" t="n">
        <v>46220</v>
      </c>
    </row>
    <row r="74" customFormat="false" ht="15" hidden="false" customHeight="false" outlineLevel="0" collapsed="false">
      <c r="A74" s="82" t="s">
        <v>230</v>
      </c>
      <c r="B74" s="83" t="s">
        <v>129</v>
      </c>
      <c r="C74" s="83" t="n">
        <v>50</v>
      </c>
      <c r="D74" s="83" t="s">
        <v>124</v>
      </c>
      <c r="E74" s="82" t="s">
        <v>93</v>
      </c>
      <c r="F74" s="82" t="s">
        <v>30</v>
      </c>
      <c r="G74" s="82" t="s">
        <v>35</v>
      </c>
      <c r="H74" s="83" t="n">
        <v>22</v>
      </c>
      <c r="I74" s="84" t="n">
        <v>9000</v>
      </c>
      <c r="J74" s="84" t="n">
        <v>198000</v>
      </c>
      <c r="K74" s="82" t="s">
        <v>134</v>
      </c>
      <c r="L74" s="83" t="n">
        <v>3</v>
      </c>
      <c r="M74" s="83" t="s">
        <v>160</v>
      </c>
      <c r="N74" s="85" t="n">
        <v>46102</v>
      </c>
    </row>
    <row r="75" customFormat="false" ht="15" hidden="false" customHeight="false" outlineLevel="0" collapsed="false">
      <c r="A75" s="82" t="s">
        <v>231</v>
      </c>
      <c r="B75" s="83" t="s">
        <v>129</v>
      </c>
      <c r="C75" s="83" t="n">
        <v>49</v>
      </c>
      <c r="D75" s="83" t="s">
        <v>124</v>
      </c>
      <c r="E75" s="82" t="s">
        <v>96</v>
      </c>
      <c r="F75" s="82" t="s">
        <v>30</v>
      </c>
      <c r="G75" s="82" t="s">
        <v>34</v>
      </c>
      <c r="H75" s="83" t="n">
        <v>6</v>
      </c>
      <c r="I75" s="84" t="n">
        <v>9000</v>
      </c>
      <c r="J75" s="84" t="n">
        <v>54000</v>
      </c>
      <c r="K75" s="82" t="s">
        <v>134</v>
      </c>
      <c r="L75" s="83" t="n">
        <v>0</v>
      </c>
      <c r="M75" s="83" t="s">
        <v>160</v>
      </c>
      <c r="N75" s="85" t="n">
        <v>46272</v>
      </c>
    </row>
    <row r="76" customFormat="false" ht="15" hidden="false" customHeight="false" outlineLevel="0" collapsed="false">
      <c r="A76" s="82" t="s">
        <v>232</v>
      </c>
      <c r="B76" s="83" t="s">
        <v>129</v>
      </c>
      <c r="C76" s="83" t="n">
        <v>58</v>
      </c>
      <c r="D76" s="83" t="s">
        <v>126</v>
      </c>
      <c r="E76" s="82" t="s">
        <v>93</v>
      </c>
      <c r="F76" s="82" t="s">
        <v>30</v>
      </c>
      <c r="G76" s="82" t="s">
        <v>34</v>
      </c>
      <c r="H76" s="83" t="n">
        <v>19</v>
      </c>
      <c r="I76" s="84" t="n">
        <v>9200</v>
      </c>
      <c r="J76" s="84" t="n">
        <v>174800</v>
      </c>
      <c r="K76" s="82" t="s">
        <v>133</v>
      </c>
      <c r="L76" s="83" t="n">
        <v>2</v>
      </c>
      <c r="M76" s="83" t="s">
        <v>160</v>
      </c>
      <c r="N76" s="85" t="n">
        <v>46074</v>
      </c>
    </row>
    <row r="77" customFormat="false" ht="15" hidden="false" customHeight="false" outlineLevel="0" collapsed="false">
      <c r="A77" s="82" t="s">
        <v>233</v>
      </c>
      <c r="B77" s="83" t="s">
        <v>130</v>
      </c>
      <c r="C77" s="83" t="n">
        <v>29</v>
      </c>
      <c r="D77" s="83" t="s">
        <v>121</v>
      </c>
      <c r="E77" s="82" t="s">
        <v>96</v>
      </c>
      <c r="F77" s="82" t="s">
        <v>32</v>
      </c>
      <c r="G77" s="82" t="s">
        <v>33</v>
      </c>
      <c r="H77" s="83" t="n">
        <v>4</v>
      </c>
      <c r="I77" s="84" t="n">
        <v>22700</v>
      </c>
      <c r="J77" s="84" t="n">
        <v>90800</v>
      </c>
      <c r="K77" s="82" t="s">
        <v>135</v>
      </c>
      <c r="L77" s="83" t="n">
        <v>0</v>
      </c>
      <c r="M77" s="83" t="s">
        <v>157</v>
      </c>
      <c r="N77" s="85" t="n">
        <v>46233</v>
      </c>
    </row>
    <row r="78" customFormat="false" ht="15" hidden="false" customHeight="false" outlineLevel="0" collapsed="false">
      <c r="A78" s="82" t="s">
        <v>234</v>
      </c>
      <c r="B78" s="83" t="s">
        <v>129</v>
      </c>
      <c r="C78" s="83" t="n">
        <v>29</v>
      </c>
      <c r="D78" s="83" t="s">
        <v>121</v>
      </c>
      <c r="E78" s="82" t="s">
        <v>95</v>
      </c>
      <c r="F78" s="82" t="s">
        <v>30</v>
      </c>
      <c r="G78" s="82" t="s">
        <v>35</v>
      </c>
      <c r="H78" s="83" t="n">
        <v>16</v>
      </c>
      <c r="I78" s="84" t="n">
        <v>8500</v>
      </c>
      <c r="J78" s="84" t="n">
        <v>136000</v>
      </c>
      <c r="K78" s="82" t="s">
        <v>135</v>
      </c>
      <c r="L78" s="83" t="n">
        <v>1</v>
      </c>
      <c r="M78" s="83" t="s">
        <v>160</v>
      </c>
      <c r="N78" s="85" t="n">
        <v>46261</v>
      </c>
    </row>
    <row r="79" customFormat="false" ht="15" hidden="false" customHeight="false" outlineLevel="0" collapsed="false">
      <c r="A79" s="82" t="s">
        <v>235</v>
      </c>
      <c r="B79" s="83" t="s">
        <v>130</v>
      </c>
      <c r="C79" s="83" t="n">
        <v>62</v>
      </c>
      <c r="D79" s="83" t="s">
        <v>126</v>
      </c>
      <c r="E79" s="82" t="s">
        <v>99</v>
      </c>
      <c r="F79" s="82" t="s">
        <v>30</v>
      </c>
      <c r="G79" s="82" t="s">
        <v>33</v>
      </c>
      <c r="H79" s="83" t="n">
        <v>23</v>
      </c>
      <c r="I79" s="84" t="n">
        <v>9200</v>
      </c>
      <c r="J79" s="84" t="n">
        <v>211600</v>
      </c>
      <c r="K79" s="82" t="s">
        <v>135</v>
      </c>
      <c r="L79" s="83" t="n">
        <v>1</v>
      </c>
      <c r="M79" s="83" t="s">
        <v>160</v>
      </c>
      <c r="N79" s="85" t="n">
        <v>46151</v>
      </c>
    </row>
    <row r="80" customFormat="false" ht="15" hidden="false" customHeight="false" outlineLevel="0" collapsed="false">
      <c r="A80" s="82" t="s">
        <v>236</v>
      </c>
      <c r="B80" s="83" t="s">
        <v>130</v>
      </c>
      <c r="C80" s="83" t="n">
        <v>38</v>
      </c>
      <c r="D80" s="83" t="s">
        <v>123</v>
      </c>
      <c r="E80" s="82" t="s">
        <v>95</v>
      </c>
      <c r="F80" s="82" t="s">
        <v>32</v>
      </c>
      <c r="G80" s="82" t="s">
        <v>35</v>
      </c>
      <c r="H80" s="83" t="n">
        <v>7</v>
      </c>
      <c r="I80" s="84" t="n">
        <v>22500</v>
      </c>
      <c r="J80" s="84" t="n">
        <v>157500</v>
      </c>
      <c r="K80" s="82" t="s">
        <v>135</v>
      </c>
      <c r="L80" s="83" t="n">
        <v>0</v>
      </c>
      <c r="M80" s="83" t="s">
        <v>160</v>
      </c>
      <c r="N80" s="85" t="n">
        <v>46225</v>
      </c>
    </row>
    <row r="81" customFormat="false" ht="15" hidden="false" customHeight="false" outlineLevel="0" collapsed="false">
      <c r="A81" s="82" t="s">
        <v>237</v>
      </c>
      <c r="B81" s="83" t="s">
        <v>130</v>
      </c>
      <c r="C81" s="83" t="n">
        <v>19</v>
      </c>
      <c r="D81" s="83" t="s">
        <v>119</v>
      </c>
      <c r="E81" s="82" t="s">
        <v>99</v>
      </c>
      <c r="F81" s="82" t="s">
        <v>32</v>
      </c>
      <c r="G81" s="82" t="s">
        <v>35</v>
      </c>
      <c r="H81" s="83" t="n">
        <v>4</v>
      </c>
      <c r="I81" s="84" t="n">
        <v>25000</v>
      </c>
      <c r="J81" s="84" t="n">
        <v>100000</v>
      </c>
      <c r="K81" s="82" t="s">
        <v>134</v>
      </c>
      <c r="L81" s="83" t="n">
        <v>1</v>
      </c>
      <c r="M81" s="83" t="s">
        <v>160</v>
      </c>
      <c r="N81" s="85" t="n">
        <v>46140</v>
      </c>
    </row>
    <row r="82" customFormat="false" ht="15" hidden="false" customHeight="false" outlineLevel="0" collapsed="false">
      <c r="A82" s="82" t="s">
        <v>238</v>
      </c>
      <c r="B82" s="83" t="s">
        <v>130</v>
      </c>
      <c r="C82" s="83" t="n">
        <v>33</v>
      </c>
      <c r="D82" s="83" t="s">
        <v>121</v>
      </c>
      <c r="E82" s="82" t="s">
        <v>95</v>
      </c>
      <c r="F82" s="82" t="s">
        <v>31</v>
      </c>
      <c r="G82" s="82" t="s">
        <v>34</v>
      </c>
      <c r="H82" s="83" t="n">
        <v>9</v>
      </c>
      <c r="I82" s="84" t="n">
        <v>14800</v>
      </c>
      <c r="J82" s="84" t="n">
        <v>133200</v>
      </c>
      <c r="K82" s="82" t="s">
        <v>135</v>
      </c>
      <c r="L82" s="83" t="n">
        <v>4</v>
      </c>
      <c r="M82" s="83" t="s">
        <v>157</v>
      </c>
      <c r="N82" s="85" t="n">
        <v>46209</v>
      </c>
    </row>
    <row r="83" customFormat="false" ht="15" hidden="false" customHeight="false" outlineLevel="0" collapsed="false">
      <c r="A83" s="82" t="s">
        <v>239</v>
      </c>
      <c r="B83" s="83" t="s">
        <v>129</v>
      </c>
      <c r="C83" s="83" t="n">
        <v>24</v>
      </c>
      <c r="D83" s="83" t="s">
        <v>119</v>
      </c>
      <c r="E83" s="82" t="s">
        <v>96</v>
      </c>
      <c r="F83" s="82" t="s">
        <v>30</v>
      </c>
      <c r="G83" s="82" t="s">
        <v>33</v>
      </c>
      <c r="H83" s="83" t="n">
        <v>13</v>
      </c>
      <c r="I83" s="84" t="n">
        <v>8000</v>
      </c>
      <c r="J83" s="84" t="n">
        <v>104000</v>
      </c>
      <c r="K83" s="82" t="s">
        <v>135</v>
      </c>
      <c r="L83" s="83" t="n">
        <v>0</v>
      </c>
      <c r="M83" s="83" t="s">
        <v>160</v>
      </c>
      <c r="N83" s="85" t="n">
        <v>46107</v>
      </c>
    </row>
    <row r="84" customFormat="false" ht="15" hidden="false" customHeight="false" outlineLevel="0" collapsed="false">
      <c r="A84" s="82" t="s">
        <v>240</v>
      </c>
      <c r="B84" s="83" t="s">
        <v>130</v>
      </c>
      <c r="C84" s="83" t="n">
        <v>49</v>
      </c>
      <c r="D84" s="83" t="s">
        <v>124</v>
      </c>
      <c r="E84" s="82" t="s">
        <v>96</v>
      </c>
      <c r="F84" s="82" t="s">
        <v>31</v>
      </c>
      <c r="G84" s="82" t="s">
        <v>33</v>
      </c>
      <c r="H84" s="83" t="n">
        <v>8</v>
      </c>
      <c r="I84" s="84" t="n">
        <v>14400</v>
      </c>
      <c r="J84" s="84" t="n">
        <v>115200</v>
      </c>
      <c r="K84" s="82" t="s">
        <v>132</v>
      </c>
      <c r="L84" s="83" t="n">
        <v>4</v>
      </c>
      <c r="M84" s="83" t="s">
        <v>160</v>
      </c>
      <c r="N84" s="85" t="n">
        <v>46226</v>
      </c>
    </row>
    <row r="85" customFormat="false" ht="15" hidden="false" customHeight="false" outlineLevel="0" collapsed="false">
      <c r="A85" s="82" t="s">
        <v>241</v>
      </c>
      <c r="B85" s="83" t="s">
        <v>130</v>
      </c>
      <c r="C85" s="83" t="n">
        <v>24</v>
      </c>
      <c r="D85" s="83" t="s">
        <v>119</v>
      </c>
      <c r="E85" s="82" t="s">
        <v>98</v>
      </c>
      <c r="F85" s="82" t="s">
        <v>30</v>
      </c>
      <c r="G85" s="82" t="s">
        <v>34</v>
      </c>
      <c r="H85" s="83" t="n">
        <v>30</v>
      </c>
      <c r="I85" s="84" t="n">
        <v>8300</v>
      </c>
      <c r="J85" s="84" t="n">
        <v>249000</v>
      </c>
      <c r="K85" s="82" t="s">
        <v>135</v>
      </c>
      <c r="L85" s="83" t="n">
        <v>3</v>
      </c>
      <c r="M85" s="83" t="s">
        <v>160</v>
      </c>
      <c r="N85" s="85" t="n">
        <v>46213</v>
      </c>
    </row>
    <row r="86" customFormat="false" ht="15" hidden="false" customHeight="false" outlineLevel="0" collapsed="false">
      <c r="A86" s="82" t="s">
        <v>242</v>
      </c>
      <c r="B86" s="83" t="s">
        <v>129</v>
      </c>
      <c r="C86" s="83" t="n">
        <v>62</v>
      </c>
      <c r="D86" s="83" t="s">
        <v>126</v>
      </c>
      <c r="E86" s="82" t="s">
        <v>95</v>
      </c>
      <c r="F86" s="82" t="s">
        <v>31</v>
      </c>
      <c r="G86" s="82" t="s">
        <v>34</v>
      </c>
      <c r="H86" s="83" t="n">
        <v>36</v>
      </c>
      <c r="I86" s="84" t="n">
        <v>14100</v>
      </c>
      <c r="J86" s="84" t="n">
        <v>507600</v>
      </c>
      <c r="K86" s="82" t="s">
        <v>134</v>
      </c>
      <c r="L86" s="83" t="n">
        <v>0</v>
      </c>
      <c r="M86" s="83" t="s">
        <v>160</v>
      </c>
      <c r="N86" s="85" t="n">
        <v>46232</v>
      </c>
    </row>
    <row r="87" customFormat="false" ht="15" hidden="false" customHeight="false" outlineLevel="0" collapsed="false">
      <c r="A87" s="82" t="s">
        <v>243</v>
      </c>
      <c r="B87" s="83" t="s">
        <v>129</v>
      </c>
      <c r="C87" s="83" t="n">
        <v>27</v>
      </c>
      <c r="D87" s="83" t="s">
        <v>121</v>
      </c>
      <c r="E87" s="82" t="s">
        <v>93</v>
      </c>
      <c r="F87" s="82" t="s">
        <v>32</v>
      </c>
      <c r="G87" s="82" t="s">
        <v>33</v>
      </c>
      <c r="H87" s="83" t="n">
        <v>32</v>
      </c>
      <c r="I87" s="84" t="n">
        <v>22100</v>
      </c>
      <c r="J87" s="84" t="n">
        <v>707200</v>
      </c>
      <c r="K87" s="82" t="s">
        <v>132</v>
      </c>
      <c r="L87" s="83" t="n">
        <v>0</v>
      </c>
      <c r="M87" s="83" t="s">
        <v>157</v>
      </c>
      <c r="N87" s="85" t="n">
        <v>46255</v>
      </c>
    </row>
    <row r="88" customFormat="false" ht="15" hidden="false" customHeight="false" outlineLevel="0" collapsed="false">
      <c r="A88" s="82" t="s">
        <v>244</v>
      </c>
      <c r="B88" s="83" t="s">
        <v>130</v>
      </c>
      <c r="C88" s="83" t="n">
        <v>61</v>
      </c>
      <c r="D88" s="83" t="s">
        <v>126</v>
      </c>
      <c r="E88" s="82" t="s">
        <v>99</v>
      </c>
      <c r="F88" s="82" t="s">
        <v>30</v>
      </c>
      <c r="G88" s="82" t="s">
        <v>34</v>
      </c>
      <c r="H88" s="83" t="n">
        <v>10</v>
      </c>
      <c r="I88" s="84" t="n">
        <v>9000</v>
      </c>
      <c r="J88" s="84" t="n">
        <v>90000</v>
      </c>
      <c r="K88" s="82" t="s">
        <v>134</v>
      </c>
      <c r="L88" s="83" t="n">
        <v>0</v>
      </c>
      <c r="M88" s="83" t="s">
        <v>157</v>
      </c>
      <c r="N88" s="85" t="n">
        <v>46212</v>
      </c>
    </row>
    <row r="89" customFormat="false" ht="15" hidden="false" customHeight="false" outlineLevel="0" collapsed="false">
      <c r="A89" s="82" t="s">
        <v>245</v>
      </c>
      <c r="B89" s="83" t="s">
        <v>129</v>
      </c>
      <c r="C89" s="83" t="n">
        <v>47</v>
      </c>
      <c r="D89" s="83" t="s">
        <v>124</v>
      </c>
      <c r="E89" s="82" t="s">
        <v>98</v>
      </c>
      <c r="F89" s="82" t="s">
        <v>32</v>
      </c>
      <c r="G89" s="82" t="s">
        <v>35</v>
      </c>
      <c r="H89" s="83" t="n">
        <v>7</v>
      </c>
      <c r="I89" s="84" t="n">
        <v>25300</v>
      </c>
      <c r="J89" s="84" t="n">
        <v>177100</v>
      </c>
      <c r="K89" s="82" t="s">
        <v>135</v>
      </c>
      <c r="L89" s="83" t="n">
        <v>0</v>
      </c>
      <c r="M89" s="83" t="s">
        <v>160</v>
      </c>
      <c r="N89" s="85" t="n">
        <v>46206</v>
      </c>
    </row>
    <row r="90" customFormat="false" ht="15" hidden="false" customHeight="false" outlineLevel="0" collapsed="false">
      <c r="A90" s="82" t="s">
        <v>246</v>
      </c>
      <c r="B90" s="83" t="s">
        <v>129</v>
      </c>
      <c r="C90" s="83" t="n">
        <v>44</v>
      </c>
      <c r="D90" s="83" t="s">
        <v>123</v>
      </c>
      <c r="E90" s="82" t="s">
        <v>96</v>
      </c>
      <c r="F90" s="82" t="s">
        <v>30</v>
      </c>
      <c r="G90" s="82" t="s">
        <v>33</v>
      </c>
      <c r="H90" s="83" t="n">
        <v>30</v>
      </c>
      <c r="I90" s="84" t="n">
        <v>7900</v>
      </c>
      <c r="J90" s="84" t="n">
        <v>237000</v>
      </c>
      <c r="K90" s="82" t="s">
        <v>133</v>
      </c>
      <c r="L90" s="83" t="n">
        <v>2</v>
      </c>
      <c r="M90" s="83" t="s">
        <v>160</v>
      </c>
      <c r="N90" s="85" t="n">
        <v>46087</v>
      </c>
    </row>
    <row r="91" customFormat="false" ht="15" hidden="false" customHeight="false" outlineLevel="0" collapsed="false">
      <c r="A91" s="82" t="s">
        <v>247</v>
      </c>
      <c r="B91" s="83" t="s">
        <v>129</v>
      </c>
      <c r="C91" s="83" t="n">
        <v>23</v>
      </c>
      <c r="D91" s="83" t="s">
        <v>119</v>
      </c>
      <c r="E91" s="82" t="s">
        <v>99</v>
      </c>
      <c r="F91" s="82" t="s">
        <v>30</v>
      </c>
      <c r="G91" s="82" t="s">
        <v>33</v>
      </c>
      <c r="H91" s="83" t="n">
        <v>15</v>
      </c>
      <c r="I91" s="84" t="n">
        <v>8300</v>
      </c>
      <c r="J91" s="84" t="n">
        <v>124500</v>
      </c>
      <c r="K91" s="82" t="s">
        <v>132</v>
      </c>
      <c r="L91" s="83" t="n">
        <v>4</v>
      </c>
      <c r="M91" s="83" t="s">
        <v>160</v>
      </c>
      <c r="N91" s="85" t="n">
        <v>46164</v>
      </c>
    </row>
    <row r="92" customFormat="false" ht="15" hidden="false" customHeight="false" outlineLevel="0" collapsed="false">
      <c r="A92" s="82" t="s">
        <v>248</v>
      </c>
      <c r="B92" s="83" t="s">
        <v>129</v>
      </c>
      <c r="C92" s="83" t="n">
        <v>27</v>
      </c>
      <c r="D92" s="83" t="s">
        <v>121</v>
      </c>
      <c r="E92" s="82" t="s">
        <v>99</v>
      </c>
      <c r="F92" s="82" t="s">
        <v>30</v>
      </c>
      <c r="G92" s="82" t="s">
        <v>33</v>
      </c>
      <c r="H92" s="83" t="n">
        <v>2</v>
      </c>
      <c r="I92" s="84" t="n">
        <v>8000</v>
      </c>
      <c r="J92" s="84" t="n">
        <v>16000</v>
      </c>
      <c r="K92" s="82" t="s">
        <v>135</v>
      </c>
      <c r="L92" s="83" t="n">
        <v>0</v>
      </c>
      <c r="M92" s="83" t="s">
        <v>157</v>
      </c>
      <c r="N92" s="85" t="n">
        <v>46087</v>
      </c>
    </row>
    <row r="93" customFormat="false" ht="15" hidden="false" customHeight="false" outlineLevel="0" collapsed="false">
      <c r="A93" s="82" t="s">
        <v>249</v>
      </c>
      <c r="B93" s="83" t="s">
        <v>130</v>
      </c>
      <c r="C93" s="83" t="n">
        <v>52</v>
      </c>
      <c r="D93" s="83" t="s">
        <v>124</v>
      </c>
      <c r="E93" s="82" t="s">
        <v>93</v>
      </c>
      <c r="F93" s="82" t="s">
        <v>31</v>
      </c>
      <c r="G93" s="82" t="s">
        <v>33</v>
      </c>
      <c r="H93" s="83" t="n">
        <v>24</v>
      </c>
      <c r="I93" s="84" t="n">
        <v>14500</v>
      </c>
      <c r="J93" s="84" t="n">
        <v>348000</v>
      </c>
      <c r="K93" s="82" t="s">
        <v>133</v>
      </c>
      <c r="L93" s="83" t="n">
        <v>4</v>
      </c>
      <c r="M93" s="83" t="s">
        <v>157</v>
      </c>
      <c r="N93" s="85" t="n">
        <v>46045</v>
      </c>
    </row>
    <row r="94" customFormat="false" ht="15" hidden="false" customHeight="false" outlineLevel="0" collapsed="false">
      <c r="A94" s="82" t="s">
        <v>250</v>
      </c>
      <c r="B94" s="83" t="s">
        <v>130</v>
      </c>
      <c r="C94" s="83" t="n">
        <v>48</v>
      </c>
      <c r="D94" s="83" t="s">
        <v>124</v>
      </c>
      <c r="E94" s="82" t="s">
        <v>93</v>
      </c>
      <c r="F94" s="82" t="s">
        <v>30</v>
      </c>
      <c r="G94" s="82" t="s">
        <v>33</v>
      </c>
      <c r="H94" s="83" t="n">
        <v>26</v>
      </c>
      <c r="I94" s="84" t="n">
        <v>8400</v>
      </c>
      <c r="J94" s="84" t="n">
        <v>218400</v>
      </c>
      <c r="K94" s="82" t="s">
        <v>134</v>
      </c>
      <c r="L94" s="83" t="n">
        <v>4</v>
      </c>
      <c r="M94" s="83" t="s">
        <v>157</v>
      </c>
      <c r="N94" s="85" t="n">
        <v>46098</v>
      </c>
    </row>
    <row r="95" customFormat="false" ht="15" hidden="false" customHeight="false" outlineLevel="0" collapsed="false">
      <c r="A95" s="82" t="s">
        <v>251</v>
      </c>
      <c r="B95" s="83" t="s">
        <v>129</v>
      </c>
      <c r="C95" s="83" t="n">
        <v>27</v>
      </c>
      <c r="D95" s="83" t="s">
        <v>121</v>
      </c>
      <c r="E95" s="82" t="s">
        <v>96</v>
      </c>
      <c r="F95" s="82" t="s">
        <v>31</v>
      </c>
      <c r="G95" s="82" t="s">
        <v>34</v>
      </c>
      <c r="H95" s="83" t="n">
        <v>21</v>
      </c>
      <c r="I95" s="84" t="n">
        <v>14200</v>
      </c>
      <c r="J95" s="84" t="n">
        <v>298200</v>
      </c>
      <c r="K95" s="82" t="s">
        <v>135</v>
      </c>
      <c r="L95" s="83" t="n">
        <v>3</v>
      </c>
      <c r="M95" s="83" t="s">
        <v>160</v>
      </c>
      <c r="N95" s="85" t="n">
        <v>46073</v>
      </c>
    </row>
    <row r="96" customFormat="false" ht="15" hidden="false" customHeight="false" outlineLevel="0" collapsed="false">
      <c r="A96" s="82" t="s">
        <v>252</v>
      </c>
      <c r="B96" s="83" t="s">
        <v>129</v>
      </c>
      <c r="C96" s="83" t="n">
        <v>60</v>
      </c>
      <c r="D96" s="83" t="s">
        <v>126</v>
      </c>
      <c r="E96" s="82" t="s">
        <v>99</v>
      </c>
      <c r="F96" s="82" t="s">
        <v>31</v>
      </c>
      <c r="G96" s="82" t="s">
        <v>33</v>
      </c>
      <c r="H96" s="83" t="n">
        <v>29</v>
      </c>
      <c r="I96" s="84" t="n">
        <v>15400</v>
      </c>
      <c r="J96" s="84" t="n">
        <v>446600</v>
      </c>
      <c r="K96" s="82" t="s">
        <v>134</v>
      </c>
      <c r="L96" s="83" t="n">
        <v>0</v>
      </c>
      <c r="M96" s="83" t="s">
        <v>157</v>
      </c>
      <c r="N96" s="85" t="n">
        <v>46241</v>
      </c>
    </row>
    <row r="97" customFormat="false" ht="15" hidden="false" customHeight="false" outlineLevel="0" collapsed="false">
      <c r="A97" s="82" t="s">
        <v>253</v>
      </c>
      <c r="B97" s="83" t="s">
        <v>130</v>
      </c>
      <c r="C97" s="83" t="n">
        <v>61</v>
      </c>
      <c r="D97" s="83" t="s">
        <v>126</v>
      </c>
      <c r="E97" s="82" t="s">
        <v>96</v>
      </c>
      <c r="F97" s="82" t="s">
        <v>30</v>
      </c>
      <c r="G97" s="82" t="s">
        <v>33</v>
      </c>
      <c r="H97" s="83" t="n">
        <v>31</v>
      </c>
      <c r="I97" s="84" t="n">
        <v>7900</v>
      </c>
      <c r="J97" s="84" t="n">
        <v>244900</v>
      </c>
      <c r="K97" s="82" t="s">
        <v>133</v>
      </c>
      <c r="L97" s="83" t="n">
        <v>3</v>
      </c>
      <c r="M97" s="83" t="s">
        <v>157</v>
      </c>
      <c r="N97" s="85" t="n">
        <v>46213</v>
      </c>
    </row>
    <row r="98" customFormat="false" ht="15" hidden="false" customHeight="false" outlineLevel="0" collapsed="false">
      <c r="A98" s="82" t="s">
        <v>254</v>
      </c>
      <c r="B98" s="83" t="s">
        <v>129</v>
      </c>
      <c r="C98" s="83" t="n">
        <v>54</v>
      </c>
      <c r="D98" s="83" t="s">
        <v>124</v>
      </c>
      <c r="E98" s="82" t="s">
        <v>93</v>
      </c>
      <c r="F98" s="82" t="s">
        <v>31</v>
      </c>
      <c r="G98" s="82" t="s">
        <v>34</v>
      </c>
      <c r="H98" s="83" t="n">
        <v>22</v>
      </c>
      <c r="I98" s="84" t="n">
        <v>14900</v>
      </c>
      <c r="J98" s="84" t="n">
        <v>327800</v>
      </c>
      <c r="K98" s="82" t="s">
        <v>134</v>
      </c>
      <c r="L98" s="83" t="n">
        <v>0</v>
      </c>
      <c r="M98" s="83" t="s">
        <v>160</v>
      </c>
      <c r="N98" s="85" t="n">
        <v>46170</v>
      </c>
    </row>
    <row r="99" customFormat="false" ht="15" hidden="false" customHeight="false" outlineLevel="0" collapsed="false">
      <c r="A99" s="82" t="s">
        <v>255</v>
      </c>
      <c r="B99" s="83" t="s">
        <v>130</v>
      </c>
      <c r="C99" s="83" t="n">
        <v>41</v>
      </c>
      <c r="D99" s="83" t="s">
        <v>123</v>
      </c>
      <c r="E99" s="82" t="s">
        <v>93</v>
      </c>
      <c r="F99" s="82" t="s">
        <v>31</v>
      </c>
      <c r="G99" s="82" t="s">
        <v>33</v>
      </c>
      <c r="H99" s="83" t="n">
        <v>31</v>
      </c>
      <c r="I99" s="84" t="n">
        <v>13900</v>
      </c>
      <c r="J99" s="84" t="n">
        <v>430900</v>
      </c>
      <c r="K99" s="82" t="s">
        <v>133</v>
      </c>
      <c r="L99" s="83" t="n">
        <v>4</v>
      </c>
      <c r="M99" s="83" t="s">
        <v>160</v>
      </c>
      <c r="N99" s="85" t="n">
        <v>46081</v>
      </c>
    </row>
    <row r="100" customFormat="false" ht="15" hidden="false" customHeight="false" outlineLevel="0" collapsed="false">
      <c r="A100" s="82" t="s">
        <v>256</v>
      </c>
      <c r="B100" s="83" t="s">
        <v>130</v>
      </c>
      <c r="C100" s="83" t="n">
        <v>55</v>
      </c>
      <c r="D100" s="83" t="s">
        <v>126</v>
      </c>
      <c r="E100" s="82" t="s">
        <v>95</v>
      </c>
      <c r="F100" s="82" t="s">
        <v>31</v>
      </c>
      <c r="G100" s="82" t="s">
        <v>35</v>
      </c>
      <c r="H100" s="83" t="n">
        <v>36</v>
      </c>
      <c r="I100" s="84" t="n">
        <v>13400</v>
      </c>
      <c r="J100" s="84" t="n">
        <v>482400</v>
      </c>
      <c r="K100" s="82" t="s">
        <v>135</v>
      </c>
      <c r="L100" s="83" t="n">
        <v>5</v>
      </c>
      <c r="M100" s="83" t="s">
        <v>160</v>
      </c>
      <c r="N100" s="85" t="n">
        <v>46181</v>
      </c>
    </row>
    <row r="101" customFormat="false" ht="15" hidden="false" customHeight="false" outlineLevel="0" collapsed="false">
      <c r="A101" s="82" t="s">
        <v>257</v>
      </c>
      <c r="B101" s="83" t="s">
        <v>130</v>
      </c>
      <c r="C101" s="83" t="n">
        <v>41</v>
      </c>
      <c r="D101" s="83" t="s">
        <v>123</v>
      </c>
      <c r="E101" s="82" t="s">
        <v>93</v>
      </c>
      <c r="F101" s="82" t="s">
        <v>30</v>
      </c>
      <c r="G101" s="82" t="s">
        <v>33</v>
      </c>
      <c r="H101" s="83" t="n">
        <v>26</v>
      </c>
      <c r="I101" s="84" t="n">
        <v>7900</v>
      </c>
      <c r="J101" s="84" t="n">
        <v>205400</v>
      </c>
      <c r="K101" s="82" t="s">
        <v>133</v>
      </c>
      <c r="L101" s="83" t="n">
        <v>0</v>
      </c>
      <c r="M101" s="83" t="s">
        <v>160</v>
      </c>
      <c r="N101" s="85" t="n">
        <v>46215</v>
      </c>
    </row>
    <row r="102" customFormat="false" ht="15" hidden="false" customHeight="false" outlineLevel="0" collapsed="false">
      <c r="A102" s="82" t="s">
        <v>258</v>
      </c>
      <c r="B102" s="83" t="s">
        <v>130</v>
      </c>
      <c r="C102" s="83" t="n">
        <v>48</v>
      </c>
      <c r="D102" s="83" t="s">
        <v>124</v>
      </c>
      <c r="E102" s="82" t="s">
        <v>96</v>
      </c>
      <c r="F102" s="82" t="s">
        <v>30</v>
      </c>
      <c r="G102" s="82" t="s">
        <v>33</v>
      </c>
      <c r="H102" s="83" t="n">
        <v>21</v>
      </c>
      <c r="I102" s="84" t="n">
        <v>8900</v>
      </c>
      <c r="J102" s="84" t="n">
        <v>186900</v>
      </c>
      <c r="K102" s="82" t="s">
        <v>133</v>
      </c>
      <c r="L102" s="83" t="n">
        <v>1</v>
      </c>
      <c r="M102" s="83" t="s">
        <v>160</v>
      </c>
      <c r="N102" s="85" t="n">
        <v>46048</v>
      </c>
    </row>
    <row r="103" customFormat="false" ht="15" hidden="false" customHeight="false" outlineLevel="0" collapsed="false">
      <c r="A103" s="82" t="s">
        <v>259</v>
      </c>
      <c r="B103" s="83" t="s">
        <v>129</v>
      </c>
      <c r="C103" s="83" t="n">
        <v>36</v>
      </c>
      <c r="D103" s="83" t="s">
        <v>123</v>
      </c>
      <c r="E103" s="82" t="s">
        <v>98</v>
      </c>
      <c r="F103" s="82" t="s">
        <v>31</v>
      </c>
      <c r="G103" s="82" t="s">
        <v>33</v>
      </c>
      <c r="H103" s="83" t="n">
        <v>29</v>
      </c>
      <c r="I103" s="84" t="n">
        <v>14300</v>
      </c>
      <c r="J103" s="84" t="n">
        <v>414700</v>
      </c>
      <c r="K103" s="82" t="s">
        <v>132</v>
      </c>
      <c r="L103" s="83" t="n">
        <v>1</v>
      </c>
      <c r="M103" s="83" t="s">
        <v>157</v>
      </c>
      <c r="N103" s="85" t="n">
        <v>46243</v>
      </c>
    </row>
    <row r="104" customFormat="false" ht="15" hidden="false" customHeight="false" outlineLevel="0" collapsed="false">
      <c r="A104" s="82" t="s">
        <v>260</v>
      </c>
      <c r="B104" s="83" t="s">
        <v>129</v>
      </c>
      <c r="C104" s="83" t="n">
        <v>37</v>
      </c>
      <c r="D104" s="83" t="s">
        <v>123</v>
      </c>
      <c r="E104" s="82" t="s">
        <v>99</v>
      </c>
      <c r="F104" s="82" t="s">
        <v>31</v>
      </c>
      <c r="G104" s="82" t="s">
        <v>34</v>
      </c>
      <c r="H104" s="83" t="n">
        <v>3</v>
      </c>
      <c r="I104" s="84" t="n">
        <v>13900</v>
      </c>
      <c r="J104" s="84" t="n">
        <v>41700</v>
      </c>
      <c r="K104" s="82" t="s">
        <v>132</v>
      </c>
      <c r="L104" s="83" t="n">
        <v>2</v>
      </c>
      <c r="M104" s="83" t="s">
        <v>157</v>
      </c>
      <c r="N104" s="85" t="n">
        <v>46093</v>
      </c>
    </row>
    <row r="105" customFormat="false" ht="15" hidden="false" customHeight="false" outlineLevel="0" collapsed="false">
      <c r="A105" s="82" t="s">
        <v>261</v>
      </c>
      <c r="B105" s="83" t="s">
        <v>130</v>
      </c>
      <c r="C105" s="83" t="n">
        <v>37</v>
      </c>
      <c r="D105" s="83" t="s">
        <v>123</v>
      </c>
      <c r="E105" s="82" t="s">
        <v>96</v>
      </c>
      <c r="F105" s="82" t="s">
        <v>30</v>
      </c>
      <c r="G105" s="82" t="s">
        <v>33</v>
      </c>
      <c r="H105" s="83" t="n">
        <v>28</v>
      </c>
      <c r="I105" s="84" t="n">
        <v>8100</v>
      </c>
      <c r="J105" s="84" t="n">
        <v>226800</v>
      </c>
      <c r="K105" s="82" t="s">
        <v>134</v>
      </c>
      <c r="L105" s="83" t="n">
        <v>2</v>
      </c>
      <c r="M105" s="83" t="s">
        <v>157</v>
      </c>
      <c r="N105" s="85" t="n">
        <v>46204</v>
      </c>
    </row>
    <row r="106" customFormat="false" ht="15" hidden="false" customHeight="false" outlineLevel="0" collapsed="false">
      <c r="A106" s="82" t="s">
        <v>262</v>
      </c>
      <c r="B106" s="83" t="s">
        <v>129</v>
      </c>
      <c r="C106" s="83" t="n">
        <v>44</v>
      </c>
      <c r="D106" s="83" t="s">
        <v>123</v>
      </c>
      <c r="E106" s="82" t="s">
        <v>93</v>
      </c>
      <c r="F106" s="82" t="s">
        <v>30</v>
      </c>
      <c r="G106" s="82" t="s">
        <v>33</v>
      </c>
      <c r="H106" s="83" t="n">
        <v>5</v>
      </c>
      <c r="I106" s="84" t="n">
        <v>9000</v>
      </c>
      <c r="J106" s="84" t="n">
        <v>45000</v>
      </c>
      <c r="K106" s="82" t="s">
        <v>134</v>
      </c>
      <c r="L106" s="83" t="n">
        <v>0</v>
      </c>
      <c r="M106" s="83" t="s">
        <v>160</v>
      </c>
      <c r="N106" s="85" t="n">
        <v>46189</v>
      </c>
    </row>
    <row r="107" customFormat="false" ht="15" hidden="false" customHeight="false" outlineLevel="0" collapsed="false">
      <c r="A107" s="82" t="s">
        <v>263</v>
      </c>
      <c r="B107" s="83" t="s">
        <v>129</v>
      </c>
      <c r="C107" s="83" t="n">
        <v>58</v>
      </c>
      <c r="D107" s="83" t="s">
        <v>126</v>
      </c>
      <c r="E107" s="82" t="s">
        <v>98</v>
      </c>
      <c r="F107" s="82" t="s">
        <v>32</v>
      </c>
      <c r="G107" s="82" t="s">
        <v>35</v>
      </c>
      <c r="H107" s="83" t="n">
        <v>6</v>
      </c>
      <c r="I107" s="84" t="n">
        <v>23300</v>
      </c>
      <c r="J107" s="84" t="n">
        <v>139800</v>
      </c>
      <c r="K107" s="82" t="s">
        <v>133</v>
      </c>
      <c r="L107" s="83" t="n">
        <v>1</v>
      </c>
      <c r="M107" s="83" t="s">
        <v>160</v>
      </c>
      <c r="N107" s="85" t="n">
        <v>46291</v>
      </c>
    </row>
    <row r="108" customFormat="false" ht="15" hidden="false" customHeight="false" outlineLevel="0" collapsed="false">
      <c r="A108" s="82" t="s">
        <v>264</v>
      </c>
      <c r="B108" s="83" t="s">
        <v>129</v>
      </c>
      <c r="C108" s="83" t="n">
        <v>44</v>
      </c>
      <c r="D108" s="83" t="s">
        <v>123</v>
      </c>
      <c r="E108" s="82" t="s">
        <v>96</v>
      </c>
      <c r="F108" s="82" t="s">
        <v>31</v>
      </c>
      <c r="G108" s="82" t="s">
        <v>33</v>
      </c>
      <c r="H108" s="83" t="n">
        <v>11</v>
      </c>
      <c r="I108" s="84" t="n">
        <v>13500</v>
      </c>
      <c r="J108" s="84" t="n">
        <v>148500</v>
      </c>
      <c r="K108" s="82" t="s">
        <v>132</v>
      </c>
      <c r="L108" s="83" t="n">
        <v>0</v>
      </c>
      <c r="M108" s="83" t="s">
        <v>160</v>
      </c>
      <c r="N108" s="85" t="n">
        <v>46098</v>
      </c>
    </row>
    <row r="109" customFormat="false" ht="15" hidden="false" customHeight="false" outlineLevel="0" collapsed="false">
      <c r="A109" s="82" t="s">
        <v>265</v>
      </c>
      <c r="B109" s="83" t="s">
        <v>129</v>
      </c>
      <c r="C109" s="83" t="n">
        <v>25</v>
      </c>
      <c r="D109" s="83" t="s">
        <v>121</v>
      </c>
      <c r="E109" s="82" t="s">
        <v>95</v>
      </c>
      <c r="F109" s="82" t="s">
        <v>30</v>
      </c>
      <c r="G109" s="82" t="s">
        <v>33</v>
      </c>
      <c r="H109" s="83" t="n">
        <v>10</v>
      </c>
      <c r="I109" s="84" t="n">
        <v>8900</v>
      </c>
      <c r="J109" s="84" t="n">
        <v>89000</v>
      </c>
      <c r="K109" s="82" t="s">
        <v>133</v>
      </c>
      <c r="L109" s="83" t="n">
        <v>0</v>
      </c>
      <c r="M109" s="83" t="s">
        <v>160</v>
      </c>
      <c r="N109" s="85" t="n">
        <v>46275</v>
      </c>
    </row>
    <row r="110" customFormat="false" ht="15" hidden="false" customHeight="false" outlineLevel="0" collapsed="false">
      <c r="A110" s="82" t="s">
        <v>266</v>
      </c>
      <c r="B110" s="83" t="s">
        <v>130</v>
      </c>
      <c r="C110" s="83" t="n">
        <v>55</v>
      </c>
      <c r="D110" s="83" t="s">
        <v>126</v>
      </c>
      <c r="E110" s="82" t="s">
        <v>99</v>
      </c>
      <c r="F110" s="82" t="s">
        <v>30</v>
      </c>
      <c r="G110" s="82" t="s">
        <v>35</v>
      </c>
      <c r="H110" s="83" t="n">
        <v>21</v>
      </c>
      <c r="I110" s="84" t="n">
        <v>9000</v>
      </c>
      <c r="J110" s="84" t="n">
        <v>189000</v>
      </c>
      <c r="K110" s="82" t="s">
        <v>133</v>
      </c>
      <c r="L110" s="83" t="n">
        <v>1</v>
      </c>
      <c r="M110" s="83" t="s">
        <v>160</v>
      </c>
      <c r="N110" s="85" t="n">
        <v>46163</v>
      </c>
    </row>
    <row r="111" customFormat="false" ht="15" hidden="false" customHeight="false" outlineLevel="0" collapsed="false">
      <c r="A111" s="82" t="s">
        <v>267</v>
      </c>
      <c r="B111" s="83" t="s">
        <v>129</v>
      </c>
      <c r="C111" s="83" t="n">
        <v>41</v>
      </c>
      <c r="D111" s="83" t="s">
        <v>123</v>
      </c>
      <c r="E111" s="82" t="s">
        <v>99</v>
      </c>
      <c r="F111" s="82" t="s">
        <v>30</v>
      </c>
      <c r="G111" s="82" t="s">
        <v>33</v>
      </c>
      <c r="H111" s="83" t="n">
        <v>3</v>
      </c>
      <c r="I111" s="84" t="n">
        <v>7900</v>
      </c>
      <c r="J111" s="84" t="n">
        <v>23700</v>
      </c>
      <c r="K111" s="82" t="s">
        <v>135</v>
      </c>
      <c r="L111" s="83" t="n">
        <v>1</v>
      </c>
      <c r="M111" s="83" t="s">
        <v>160</v>
      </c>
      <c r="N111" s="85" t="n">
        <v>46069</v>
      </c>
    </row>
    <row r="112" customFormat="false" ht="15" hidden="false" customHeight="false" outlineLevel="0" collapsed="false">
      <c r="A112" s="82" t="s">
        <v>268</v>
      </c>
      <c r="B112" s="83" t="s">
        <v>130</v>
      </c>
      <c r="C112" s="83" t="n">
        <v>48</v>
      </c>
      <c r="D112" s="83" t="s">
        <v>124</v>
      </c>
      <c r="E112" s="82" t="s">
        <v>99</v>
      </c>
      <c r="F112" s="82" t="s">
        <v>31</v>
      </c>
      <c r="G112" s="82" t="s">
        <v>35</v>
      </c>
      <c r="H112" s="83" t="n">
        <v>3</v>
      </c>
      <c r="I112" s="84" t="n">
        <v>14400</v>
      </c>
      <c r="J112" s="84" t="n">
        <v>43200</v>
      </c>
      <c r="K112" s="82" t="s">
        <v>135</v>
      </c>
      <c r="L112" s="83" t="n">
        <v>3</v>
      </c>
      <c r="M112" s="83" t="s">
        <v>160</v>
      </c>
      <c r="N112" s="85" t="n">
        <v>46054</v>
      </c>
    </row>
    <row r="113" customFormat="false" ht="15" hidden="false" customHeight="false" outlineLevel="0" collapsed="false">
      <c r="A113" s="82" t="s">
        <v>269</v>
      </c>
      <c r="B113" s="83" t="s">
        <v>130</v>
      </c>
      <c r="C113" s="83" t="n">
        <v>25</v>
      </c>
      <c r="D113" s="83" t="s">
        <v>121</v>
      </c>
      <c r="E113" s="82" t="s">
        <v>96</v>
      </c>
      <c r="F113" s="82" t="s">
        <v>32</v>
      </c>
      <c r="G113" s="82" t="s">
        <v>33</v>
      </c>
      <c r="H113" s="83" t="n">
        <v>12</v>
      </c>
      <c r="I113" s="84" t="n">
        <v>21800</v>
      </c>
      <c r="J113" s="84" t="n">
        <v>261600</v>
      </c>
      <c r="K113" s="82" t="s">
        <v>134</v>
      </c>
      <c r="L113" s="83" t="n">
        <v>0</v>
      </c>
      <c r="M113" s="83" t="s">
        <v>160</v>
      </c>
      <c r="N113" s="85" t="n">
        <v>46104</v>
      </c>
    </row>
    <row r="114" customFormat="false" ht="15" hidden="false" customHeight="false" outlineLevel="0" collapsed="false">
      <c r="A114" s="82" t="s">
        <v>270</v>
      </c>
      <c r="B114" s="83" t="s">
        <v>130</v>
      </c>
      <c r="C114" s="83" t="n">
        <v>42</v>
      </c>
      <c r="D114" s="83" t="s">
        <v>123</v>
      </c>
      <c r="E114" s="82" t="s">
        <v>96</v>
      </c>
      <c r="F114" s="82" t="s">
        <v>30</v>
      </c>
      <c r="G114" s="82" t="s">
        <v>35</v>
      </c>
      <c r="H114" s="83" t="n">
        <v>4</v>
      </c>
      <c r="I114" s="84" t="n">
        <v>8900</v>
      </c>
      <c r="J114" s="84" t="n">
        <v>35600</v>
      </c>
      <c r="K114" s="82" t="s">
        <v>133</v>
      </c>
      <c r="L114" s="83" t="n">
        <v>1</v>
      </c>
      <c r="M114" s="83" t="s">
        <v>160</v>
      </c>
      <c r="N114" s="85" t="n">
        <v>46152</v>
      </c>
    </row>
    <row r="115" customFormat="false" ht="15" hidden="false" customHeight="false" outlineLevel="0" collapsed="false">
      <c r="A115" s="82" t="s">
        <v>271</v>
      </c>
      <c r="B115" s="83" t="s">
        <v>129</v>
      </c>
      <c r="C115" s="83" t="n">
        <v>40</v>
      </c>
      <c r="D115" s="83" t="s">
        <v>123</v>
      </c>
      <c r="E115" s="82" t="s">
        <v>93</v>
      </c>
      <c r="F115" s="82" t="s">
        <v>31</v>
      </c>
      <c r="G115" s="82" t="s">
        <v>33</v>
      </c>
      <c r="H115" s="83" t="n">
        <v>23</v>
      </c>
      <c r="I115" s="84" t="n">
        <v>14100</v>
      </c>
      <c r="J115" s="84" t="n">
        <v>324300</v>
      </c>
      <c r="K115" s="82" t="s">
        <v>134</v>
      </c>
      <c r="L115" s="83" t="n">
        <v>1</v>
      </c>
      <c r="M115" s="83" t="s">
        <v>160</v>
      </c>
      <c r="N115" s="85" t="n">
        <v>46066</v>
      </c>
    </row>
    <row r="116" customFormat="false" ht="15" hidden="false" customHeight="false" outlineLevel="0" collapsed="false">
      <c r="A116" s="82" t="s">
        <v>272</v>
      </c>
      <c r="B116" s="83" t="s">
        <v>130</v>
      </c>
      <c r="C116" s="83" t="n">
        <v>54</v>
      </c>
      <c r="D116" s="83" t="s">
        <v>124</v>
      </c>
      <c r="E116" s="82" t="s">
        <v>98</v>
      </c>
      <c r="F116" s="82" t="s">
        <v>31</v>
      </c>
      <c r="G116" s="82" t="s">
        <v>33</v>
      </c>
      <c r="H116" s="83" t="n">
        <v>9</v>
      </c>
      <c r="I116" s="84" t="n">
        <v>14900</v>
      </c>
      <c r="J116" s="84" t="n">
        <v>134100</v>
      </c>
      <c r="K116" s="82" t="s">
        <v>133</v>
      </c>
      <c r="L116" s="83" t="n">
        <v>3</v>
      </c>
      <c r="M116" s="83" t="s">
        <v>160</v>
      </c>
      <c r="N116" s="85" t="n">
        <v>46208</v>
      </c>
    </row>
    <row r="117" customFormat="false" ht="15" hidden="false" customHeight="false" outlineLevel="0" collapsed="false">
      <c r="A117" s="82" t="s">
        <v>273</v>
      </c>
      <c r="B117" s="83" t="s">
        <v>129</v>
      </c>
      <c r="C117" s="83" t="n">
        <v>42</v>
      </c>
      <c r="D117" s="83" t="s">
        <v>123</v>
      </c>
      <c r="E117" s="82" t="s">
        <v>96</v>
      </c>
      <c r="F117" s="82" t="s">
        <v>30</v>
      </c>
      <c r="G117" s="82" t="s">
        <v>33</v>
      </c>
      <c r="H117" s="83" t="n">
        <v>32</v>
      </c>
      <c r="I117" s="84" t="n">
        <v>8100</v>
      </c>
      <c r="J117" s="84" t="n">
        <v>259200</v>
      </c>
      <c r="K117" s="82" t="s">
        <v>132</v>
      </c>
      <c r="L117" s="83" t="n">
        <v>0</v>
      </c>
      <c r="M117" s="83" t="s">
        <v>160</v>
      </c>
      <c r="N117" s="85" t="n">
        <v>46074</v>
      </c>
    </row>
    <row r="118" customFormat="false" ht="15" hidden="false" customHeight="false" outlineLevel="0" collapsed="false">
      <c r="A118" s="82" t="s">
        <v>274</v>
      </c>
      <c r="B118" s="83" t="s">
        <v>129</v>
      </c>
      <c r="C118" s="83" t="n">
        <v>61</v>
      </c>
      <c r="D118" s="83" t="s">
        <v>126</v>
      </c>
      <c r="E118" s="82" t="s">
        <v>96</v>
      </c>
      <c r="F118" s="82" t="s">
        <v>32</v>
      </c>
      <c r="G118" s="82" t="s">
        <v>34</v>
      </c>
      <c r="H118" s="83" t="n">
        <v>25</v>
      </c>
      <c r="I118" s="84" t="n">
        <v>22200</v>
      </c>
      <c r="J118" s="84" t="n">
        <v>555000</v>
      </c>
      <c r="K118" s="82" t="s">
        <v>132</v>
      </c>
      <c r="L118" s="83" t="n">
        <v>3</v>
      </c>
      <c r="M118" s="83" t="s">
        <v>157</v>
      </c>
      <c r="N118" s="85" t="n">
        <v>46209</v>
      </c>
    </row>
    <row r="119" customFormat="false" ht="15" hidden="false" customHeight="false" outlineLevel="0" collapsed="false">
      <c r="A119" s="82" t="s">
        <v>275</v>
      </c>
      <c r="B119" s="83" t="s">
        <v>129</v>
      </c>
      <c r="C119" s="83" t="n">
        <v>47</v>
      </c>
      <c r="D119" s="83" t="s">
        <v>124</v>
      </c>
      <c r="E119" s="82" t="s">
        <v>99</v>
      </c>
      <c r="F119" s="82" t="s">
        <v>30</v>
      </c>
      <c r="G119" s="82" t="s">
        <v>34</v>
      </c>
      <c r="H119" s="83" t="n">
        <v>29</v>
      </c>
      <c r="I119" s="84" t="n">
        <v>8100</v>
      </c>
      <c r="J119" s="84" t="n">
        <v>234900</v>
      </c>
      <c r="K119" s="82" t="s">
        <v>132</v>
      </c>
      <c r="L119" s="83" t="n">
        <v>4</v>
      </c>
      <c r="M119" s="83" t="s">
        <v>160</v>
      </c>
      <c r="N119" s="85" t="n">
        <v>46263</v>
      </c>
    </row>
    <row r="120" customFormat="false" ht="15" hidden="false" customHeight="false" outlineLevel="0" collapsed="false">
      <c r="A120" s="82" t="s">
        <v>276</v>
      </c>
      <c r="B120" s="83" t="s">
        <v>129</v>
      </c>
      <c r="C120" s="83" t="n">
        <v>42</v>
      </c>
      <c r="D120" s="83" t="s">
        <v>123</v>
      </c>
      <c r="E120" s="82" t="s">
        <v>99</v>
      </c>
      <c r="F120" s="82" t="s">
        <v>32</v>
      </c>
      <c r="G120" s="82" t="s">
        <v>33</v>
      </c>
      <c r="H120" s="83" t="n">
        <v>19</v>
      </c>
      <c r="I120" s="84" t="n">
        <v>24500</v>
      </c>
      <c r="J120" s="84" t="n">
        <v>465500</v>
      </c>
      <c r="K120" s="82" t="s">
        <v>132</v>
      </c>
      <c r="L120" s="83" t="n">
        <v>0</v>
      </c>
      <c r="M120" s="83" t="s">
        <v>160</v>
      </c>
      <c r="N120" s="85" t="n">
        <v>46093</v>
      </c>
    </row>
    <row r="121" customFormat="false" ht="15" hidden="false" customHeight="false" outlineLevel="0" collapsed="false">
      <c r="A121" s="82" t="s">
        <v>277</v>
      </c>
      <c r="B121" s="83" t="s">
        <v>130</v>
      </c>
      <c r="C121" s="83" t="n">
        <v>22</v>
      </c>
      <c r="D121" s="83" t="s">
        <v>119</v>
      </c>
      <c r="E121" s="82" t="s">
        <v>98</v>
      </c>
      <c r="F121" s="82" t="s">
        <v>32</v>
      </c>
      <c r="G121" s="82" t="s">
        <v>34</v>
      </c>
      <c r="H121" s="83" t="n">
        <v>7</v>
      </c>
      <c r="I121" s="84" t="n">
        <v>24300</v>
      </c>
      <c r="J121" s="84" t="n">
        <v>170100</v>
      </c>
      <c r="K121" s="82" t="s">
        <v>133</v>
      </c>
      <c r="L121" s="83" t="n">
        <v>2</v>
      </c>
      <c r="M121" s="83" t="s">
        <v>160</v>
      </c>
      <c r="N121" s="85" t="n">
        <v>46162</v>
      </c>
    </row>
    <row r="122" customFormat="false" ht="15" hidden="false" customHeight="false" outlineLevel="0" collapsed="false">
      <c r="A122" s="82" t="s">
        <v>278</v>
      </c>
      <c r="B122" s="83" t="s">
        <v>130</v>
      </c>
      <c r="C122" s="83" t="n">
        <v>51</v>
      </c>
      <c r="D122" s="83" t="s">
        <v>124</v>
      </c>
      <c r="E122" s="82" t="s">
        <v>95</v>
      </c>
      <c r="F122" s="82" t="s">
        <v>32</v>
      </c>
      <c r="G122" s="82" t="s">
        <v>33</v>
      </c>
      <c r="H122" s="83" t="n">
        <v>15</v>
      </c>
      <c r="I122" s="84" t="n">
        <v>24700</v>
      </c>
      <c r="J122" s="84" t="n">
        <v>370500</v>
      </c>
      <c r="K122" s="82" t="s">
        <v>134</v>
      </c>
      <c r="L122" s="83" t="n">
        <v>5</v>
      </c>
      <c r="M122" s="83" t="s">
        <v>160</v>
      </c>
      <c r="N122" s="85" t="n">
        <v>46143</v>
      </c>
    </row>
    <row r="123" customFormat="false" ht="15" hidden="false" customHeight="false" outlineLevel="0" collapsed="false">
      <c r="A123" s="82" t="s">
        <v>279</v>
      </c>
      <c r="B123" s="83" t="s">
        <v>130</v>
      </c>
      <c r="C123" s="83" t="n">
        <v>24</v>
      </c>
      <c r="D123" s="83" t="s">
        <v>119</v>
      </c>
      <c r="E123" s="82" t="s">
        <v>96</v>
      </c>
      <c r="F123" s="82" t="s">
        <v>30</v>
      </c>
      <c r="G123" s="82" t="s">
        <v>33</v>
      </c>
      <c r="H123" s="83" t="n">
        <v>7</v>
      </c>
      <c r="I123" s="84" t="n">
        <v>9000</v>
      </c>
      <c r="J123" s="84" t="n">
        <v>63000</v>
      </c>
      <c r="K123" s="82" t="s">
        <v>135</v>
      </c>
      <c r="L123" s="83" t="n">
        <v>0</v>
      </c>
      <c r="M123" s="83" t="s">
        <v>157</v>
      </c>
      <c r="N123" s="85" t="n">
        <v>46169</v>
      </c>
    </row>
    <row r="124" customFormat="false" ht="15" hidden="false" customHeight="false" outlineLevel="0" collapsed="false">
      <c r="A124" s="82" t="s">
        <v>280</v>
      </c>
      <c r="B124" s="83" t="s">
        <v>130</v>
      </c>
      <c r="C124" s="83" t="n">
        <v>27</v>
      </c>
      <c r="D124" s="83" t="s">
        <v>121</v>
      </c>
      <c r="E124" s="82" t="s">
        <v>98</v>
      </c>
      <c r="F124" s="82" t="s">
        <v>30</v>
      </c>
      <c r="G124" s="82" t="s">
        <v>33</v>
      </c>
      <c r="H124" s="83" t="n">
        <v>6</v>
      </c>
      <c r="I124" s="84" t="n">
        <v>7800</v>
      </c>
      <c r="J124" s="84" t="n">
        <v>46800</v>
      </c>
      <c r="K124" s="82" t="s">
        <v>134</v>
      </c>
      <c r="L124" s="83" t="n">
        <v>2</v>
      </c>
      <c r="M124" s="83" t="s">
        <v>157</v>
      </c>
      <c r="N124" s="85" t="n">
        <v>46177</v>
      </c>
    </row>
    <row r="125" customFormat="false" ht="15" hidden="false" customHeight="false" outlineLevel="0" collapsed="false">
      <c r="A125" s="82" t="s">
        <v>281</v>
      </c>
      <c r="B125" s="83" t="s">
        <v>129</v>
      </c>
      <c r="C125" s="83" t="n">
        <v>22</v>
      </c>
      <c r="D125" s="83" t="s">
        <v>119</v>
      </c>
      <c r="E125" s="82" t="s">
        <v>95</v>
      </c>
      <c r="F125" s="82" t="s">
        <v>30</v>
      </c>
      <c r="G125" s="82" t="s">
        <v>35</v>
      </c>
      <c r="H125" s="83" t="n">
        <v>30</v>
      </c>
      <c r="I125" s="84" t="n">
        <v>7900</v>
      </c>
      <c r="J125" s="84" t="n">
        <v>237000</v>
      </c>
      <c r="K125" s="82" t="s">
        <v>134</v>
      </c>
      <c r="L125" s="83" t="n">
        <v>3</v>
      </c>
      <c r="M125" s="83" t="s">
        <v>157</v>
      </c>
      <c r="N125" s="85" t="n">
        <v>46286</v>
      </c>
    </row>
    <row r="126" customFormat="false" ht="15" hidden="false" customHeight="false" outlineLevel="0" collapsed="false">
      <c r="A126" s="82" t="s">
        <v>282</v>
      </c>
      <c r="B126" s="83" t="s">
        <v>129</v>
      </c>
      <c r="C126" s="83" t="n">
        <v>28</v>
      </c>
      <c r="D126" s="83" t="s">
        <v>121</v>
      </c>
      <c r="E126" s="82" t="s">
        <v>96</v>
      </c>
      <c r="F126" s="82" t="s">
        <v>30</v>
      </c>
      <c r="G126" s="82" t="s">
        <v>34</v>
      </c>
      <c r="H126" s="83" t="n">
        <v>16</v>
      </c>
      <c r="I126" s="84" t="n">
        <v>8600</v>
      </c>
      <c r="J126" s="84" t="n">
        <v>137600</v>
      </c>
      <c r="K126" s="82" t="s">
        <v>135</v>
      </c>
      <c r="L126" s="83" t="n">
        <v>3</v>
      </c>
      <c r="M126" s="83" t="s">
        <v>160</v>
      </c>
      <c r="N126" s="85" t="n">
        <v>46282</v>
      </c>
    </row>
    <row r="127" customFormat="false" ht="15" hidden="false" customHeight="false" outlineLevel="0" collapsed="false">
      <c r="A127" s="82" t="s">
        <v>283</v>
      </c>
      <c r="B127" s="83" t="s">
        <v>129</v>
      </c>
      <c r="C127" s="83" t="n">
        <v>43</v>
      </c>
      <c r="D127" s="83" t="s">
        <v>123</v>
      </c>
      <c r="E127" s="82" t="s">
        <v>98</v>
      </c>
      <c r="F127" s="82" t="s">
        <v>30</v>
      </c>
      <c r="G127" s="82" t="s">
        <v>33</v>
      </c>
      <c r="H127" s="83" t="n">
        <v>24</v>
      </c>
      <c r="I127" s="84" t="n">
        <v>8200</v>
      </c>
      <c r="J127" s="84" t="n">
        <v>196800</v>
      </c>
      <c r="K127" s="82" t="s">
        <v>133</v>
      </c>
      <c r="L127" s="83" t="n">
        <v>4</v>
      </c>
      <c r="M127" s="83" t="s">
        <v>157</v>
      </c>
      <c r="N127" s="85" t="n">
        <v>46146</v>
      </c>
    </row>
    <row r="128" customFormat="false" ht="15" hidden="false" customHeight="false" outlineLevel="0" collapsed="false">
      <c r="A128" s="82" t="s">
        <v>284</v>
      </c>
      <c r="B128" s="83" t="s">
        <v>129</v>
      </c>
      <c r="C128" s="83" t="n">
        <v>56</v>
      </c>
      <c r="D128" s="83" t="s">
        <v>126</v>
      </c>
      <c r="E128" s="82" t="s">
        <v>96</v>
      </c>
      <c r="F128" s="82" t="s">
        <v>30</v>
      </c>
      <c r="G128" s="82" t="s">
        <v>33</v>
      </c>
      <c r="H128" s="83" t="n">
        <v>22</v>
      </c>
      <c r="I128" s="84" t="n">
        <v>8900</v>
      </c>
      <c r="J128" s="84" t="n">
        <v>195800</v>
      </c>
      <c r="K128" s="82" t="s">
        <v>134</v>
      </c>
      <c r="L128" s="83" t="n">
        <v>3</v>
      </c>
      <c r="M128" s="83" t="s">
        <v>160</v>
      </c>
      <c r="N128" s="85" t="n">
        <v>46116</v>
      </c>
    </row>
    <row r="129" customFormat="false" ht="15" hidden="false" customHeight="false" outlineLevel="0" collapsed="false">
      <c r="A129" s="82" t="s">
        <v>285</v>
      </c>
      <c r="B129" s="83" t="s">
        <v>129</v>
      </c>
      <c r="C129" s="83" t="n">
        <v>23</v>
      </c>
      <c r="D129" s="83" t="s">
        <v>119</v>
      </c>
      <c r="E129" s="82" t="s">
        <v>98</v>
      </c>
      <c r="F129" s="82" t="s">
        <v>30</v>
      </c>
      <c r="G129" s="82" t="s">
        <v>33</v>
      </c>
      <c r="H129" s="83" t="n">
        <v>13</v>
      </c>
      <c r="I129" s="84" t="n">
        <v>9000</v>
      </c>
      <c r="J129" s="84" t="n">
        <v>117000</v>
      </c>
      <c r="K129" s="82" t="s">
        <v>135</v>
      </c>
      <c r="L129" s="83" t="n">
        <v>4</v>
      </c>
      <c r="M129" s="83" t="s">
        <v>160</v>
      </c>
      <c r="N129" s="85" t="n">
        <v>46265</v>
      </c>
    </row>
    <row r="130" customFormat="false" ht="15" hidden="false" customHeight="false" outlineLevel="0" collapsed="false">
      <c r="A130" s="82" t="s">
        <v>286</v>
      </c>
      <c r="B130" s="83" t="s">
        <v>130</v>
      </c>
      <c r="C130" s="83" t="n">
        <v>21</v>
      </c>
      <c r="D130" s="83" t="s">
        <v>119</v>
      </c>
      <c r="E130" s="82" t="s">
        <v>95</v>
      </c>
      <c r="F130" s="82" t="s">
        <v>30</v>
      </c>
      <c r="G130" s="82" t="s">
        <v>35</v>
      </c>
      <c r="H130" s="83" t="n">
        <v>4</v>
      </c>
      <c r="I130" s="84" t="n">
        <v>9000</v>
      </c>
      <c r="J130" s="84" t="n">
        <v>36000</v>
      </c>
      <c r="K130" s="82" t="s">
        <v>135</v>
      </c>
      <c r="L130" s="83" t="n">
        <v>1</v>
      </c>
      <c r="M130" s="83" t="s">
        <v>160</v>
      </c>
      <c r="N130" s="85" t="n">
        <v>46248</v>
      </c>
    </row>
    <row r="131" customFormat="false" ht="15" hidden="false" customHeight="false" outlineLevel="0" collapsed="false">
      <c r="A131" s="82" t="s">
        <v>287</v>
      </c>
      <c r="B131" s="83" t="s">
        <v>130</v>
      </c>
      <c r="C131" s="83" t="n">
        <v>40</v>
      </c>
      <c r="D131" s="83" t="s">
        <v>123</v>
      </c>
      <c r="E131" s="82" t="s">
        <v>95</v>
      </c>
      <c r="F131" s="82" t="s">
        <v>31</v>
      </c>
      <c r="G131" s="82" t="s">
        <v>33</v>
      </c>
      <c r="H131" s="83" t="n">
        <v>34</v>
      </c>
      <c r="I131" s="84" t="n">
        <v>14000</v>
      </c>
      <c r="J131" s="84" t="n">
        <v>476000</v>
      </c>
      <c r="K131" s="82" t="s">
        <v>133</v>
      </c>
      <c r="L131" s="83" t="n">
        <v>2</v>
      </c>
      <c r="M131" s="83" t="s">
        <v>157</v>
      </c>
      <c r="N131" s="85" t="n">
        <v>46115</v>
      </c>
    </row>
    <row r="132" customFormat="false" ht="15" hidden="false" customHeight="false" outlineLevel="0" collapsed="false">
      <c r="A132" s="82" t="s">
        <v>288</v>
      </c>
      <c r="B132" s="83" t="s">
        <v>130</v>
      </c>
      <c r="C132" s="83" t="n">
        <v>39</v>
      </c>
      <c r="D132" s="83" t="s">
        <v>123</v>
      </c>
      <c r="E132" s="82" t="s">
        <v>93</v>
      </c>
      <c r="F132" s="82" t="s">
        <v>30</v>
      </c>
      <c r="G132" s="82" t="s">
        <v>34</v>
      </c>
      <c r="H132" s="83" t="n">
        <v>20</v>
      </c>
      <c r="I132" s="84" t="n">
        <v>8400</v>
      </c>
      <c r="J132" s="84" t="n">
        <v>168000</v>
      </c>
      <c r="K132" s="82" t="s">
        <v>134</v>
      </c>
      <c r="L132" s="83" t="n">
        <v>1</v>
      </c>
      <c r="M132" s="83" t="s">
        <v>157</v>
      </c>
      <c r="N132" s="85" t="n">
        <v>46203</v>
      </c>
    </row>
    <row r="133" customFormat="false" ht="15" hidden="false" customHeight="false" outlineLevel="0" collapsed="false">
      <c r="A133" s="82" t="s">
        <v>289</v>
      </c>
      <c r="B133" s="83" t="s">
        <v>130</v>
      </c>
      <c r="C133" s="83" t="n">
        <v>36</v>
      </c>
      <c r="D133" s="83" t="s">
        <v>123</v>
      </c>
      <c r="E133" s="82" t="s">
        <v>93</v>
      </c>
      <c r="F133" s="82" t="s">
        <v>30</v>
      </c>
      <c r="G133" s="82" t="s">
        <v>34</v>
      </c>
      <c r="H133" s="83" t="n">
        <v>24</v>
      </c>
      <c r="I133" s="84" t="n">
        <v>8500</v>
      </c>
      <c r="J133" s="84" t="n">
        <v>204000</v>
      </c>
      <c r="K133" s="82" t="s">
        <v>132</v>
      </c>
      <c r="L133" s="83" t="n">
        <v>1</v>
      </c>
      <c r="M133" s="83" t="s">
        <v>157</v>
      </c>
      <c r="N133" s="85" t="n">
        <v>46247</v>
      </c>
    </row>
    <row r="134" customFormat="false" ht="15" hidden="false" customHeight="false" outlineLevel="0" collapsed="false">
      <c r="A134" s="82" t="s">
        <v>290</v>
      </c>
      <c r="B134" s="83" t="s">
        <v>129</v>
      </c>
      <c r="C134" s="83" t="n">
        <v>27</v>
      </c>
      <c r="D134" s="83" t="s">
        <v>121</v>
      </c>
      <c r="E134" s="82" t="s">
        <v>93</v>
      </c>
      <c r="F134" s="82" t="s">
        <v>30</v>
      </c>
      <c r="G134" s="82" t="s">
        <v>34</v>
      </c>
      <c r="H134" s="83" t="n">
        <v>24</v>
      </c>
      <c r="I134" s="84" t="n">
        <v>8300</v>
      </c>
      <c r="J134" s="84" t="n">
        <v>199200</v>
      </c>
      <c r="K134" s="82" t="s">
        <v>134</v>
      </c>
      <c r="L134" s="83" t="n">
        <v>0</v>
      </c>
      <c r="M134" s="83" t="s">
        <v>160</v>
      </c>
      <c r="N134" s="85" t="n">
        <v>46062</v>
      </c>
    </row>
    <row r="135" customFormat="false" ht="15" hidden="false" customHeight="false" outlineLevel="0" collapsed="false">
      <c r="A135" s="82" t="s">
        <v>291</v>
      </c>
      <c r="B135" s="83" t="s">
        <v>129</v>
      </c>
      <c r="C135" s="83" t="n">
        <v>52</v>
      </c>
      <c r="D135" s="83" t="s">
        <v>124</v>
      </c>
      <c r="E135" s="82" t="s">
        <v>96</v>
      </c>
      <c r="F135" s="82" t="s">
        <v>30</v>
      </c>
      <c r="G135" s="82" t="s">
        <v>34</v>
      </c>
      <c r="H135" s="83" t="n">
        <v>16</v>
      </c>
      <c r="I135" s="84" t="n">
        <v>9100</v>
      </c>
      <c r="J135" s="84" t="n">
        <v>145600</v>
      </c>
      <c r="K135" s="82" t="s">
        <v>133</v>
      </c>
      <c r="L135" s="83" t="n">
        <v>1</v>
      </c>
      <c r="M135" s="83" t="s">
        <v>160</v>
      </c>
      <c r="N135" s="85" t="n">
        <v>46221</v>
      </c>
    </row>
    <row r="136" customFormat="false" ht="15" hidden="false" customHeight="false" outlineLevel="0" collapsed="false">
      <c r="A136" s="82" t="s">
        <v>292</v>
      </c>
      <c r="B136" s="83" t="s">
        <v>129</v>
      </c>
      <c r="C136" s="83" t="n">
        <v>35</v>
      </c>
      <c r="D136" s="83" t="s">
        <v>123</v>
      </c>
      <c r="E136" s="82" t="s">
        <v>96</v>
      </c>
      <c r="F136" s="82" t="s">
        <v>31</v>
      </c>
      <c r="G136" s="82" t="s">
        <v>33</v>
      </c>
      <c r="H136" s="83" t="n">
        <v>19</v>
      </c>
      <c r="I136" s="84" t="n">
        <v>15000</v>
      </c>
      <c r="J136" s="84" t="n">
        <v>285000</v>
      </c>
      <c r="K136" s="82" t="s">
        <v>132</v>
      </c>
      <c r="L136" s="83" t="n">
        <v>3</v>
      </c>
      <c r="M136" s="83" t="s">
        <v>160</v>
      </c>
      <c r="N136" s="85" t="n">
        <v>46250</v>
      </c>
    </row>
    <row r="137" customFormat="false" ht="15" hidden="false" customHeight="false" outlineLevel="0" collapsed="false">
      <c r="A137" s="82" t="s">
        <v>293</v>
      </c>
      <c r="B137" s="83" t="s">
        <v>129</v>
      </c>
      <c r="C137" s="83" t="n">
        <v>62</v>
      </c>
      <c r="D137" s="83" t="s">
        <v>126</v>
      </c>
      <c r="E137" s="82" t="s">
        <v>96</v>
      </c>
      <c r="F137" s="82" t="s">
        <v>31</v>
      </c>
      <c r="G137" s="82" t="s">
        <v>34</v>
      </c>
      <c r="H137" s="83" t="n">
        <v>36</v>
      </c>
      <c r="I137" s="84" t="n">
        <v>14600</v>
      </c>
      <c r="J137" s="84" t="n">
        <v>525600</v>
      </c>
      <c r="K137" s="82" t="s">
        <v>135</v>
      </c>
      <c r="L137" s="83" t="n">
        <v>2</v>
      </c>
      <c r="M137" s="83" t="s">
        <v>160</v>
      </c>
      <c r="N137" s="85" t="n">
        <v>46112</v>
      </c>
    </row>
    <row r="138" customFormat="false" ht="15" hidden="false" customHeight="false" outlineLevel="0" collapsed="false">
      <c r="A138" s="82" t="s">
        <v>294</v>
      </c>
      <c r="B138" s="83" t="s">
        <v>130</v>
      </c>
      <c r="C138" s="83" t="n">
        <v>51</v>
      </c>
      <c r="D138" s="83" t="s">
        <v>124</v>
      </c>
      <c r="E138" s="82" t="s">
        <v>95</v>
      </c>
      <c r="F138" s="82" t="s">
        <v>30</v>
      </c>
      <c r="G138" s="82" t="s">
        <v>33</v>
      </c>
      <c r="H138" s="83" t="n">
        <v>9</v>
      </c>
      <c r="I138" s="84" t="n">
        <v>8100</v>
      </c>
      <c r="J138" s="84" t="n">
        <v>72900</v>
      </c>
      <c r="K138" s="82" t="s">
        <v>135</v>
      </c>
      <c r="L138" s="83" t="n">
        <v>0</v>
      </c>
      <c r="M138" s="83" t="s">
        <v>160</v>
      </c>
      <c r="N138" s="85" t="n">
        <v>46089</v>
      </c>
    </row>
    <row r="139" customFormat="false" ht="15" hidden="false" customHeight="false" outlineLevel="0" collapsed="false">
      <c r="A139" s="82" t="s">
        <v>295</v>
      </c>
      <c r="B139" s="83" t="s">
        <v>129</v>
      </c>
      <c r="C139" s="83" t="n">
        <v>23</v>
      </c>
      <c r="D139" s="83" t="s">
        <v>119</v>
      </c>
      <c r="E139" s="82" t="s">
        <v>96</v>
      </c>
      <c r="F139" s="82" t="s">
        <v>30</v>
      </c>
      <c r="G139" s="82" t="s">
        <v>34</v>
      </c>
      <c r="H139" s="83" t="n">
        <v>31</v>
      </c>
      <c r="I139" s="84" t="n">
        <v>8500</v>
      </c>
      <c r="J139" s="84" t="n">
        <v>263500</v>
      </c>
      <c r="K139" s="82" t="s">
        <v>134</v>
      </c>
      <c r="L139" s="83" t="n">
        <v>2</v>
      </c>
      <c r="M139" s="83" t="s">
        <v>157</v>
      </c>
      <c r="N139" s="85" t="n">
        <v>46185</v>
      </c>
    </row>
    <row r="140" customFormat="false" ht="15" hidden="false" customHeight="false" outlineLevel="0" collapsed="false">
      <c r="A140" s="82" t="s">
        <v>296</v>
      </c>
      <c r="B140" s="83" t="s">
        <v>129</v>
      </c>
      <c r="C140" s="83" t="n">
        <v>47</v>
      </c>
      <c r="D140" s="83" t="s">
        <v>124</v>
      </c>
      <c r="E140" s="82" t="s">
        <v>98</v>
      </c>
      <c r="F140" s="82" t="s">
        <v>31</v>
      </c>
      <c r="G140" s="82" t="s">
        <v>33</v>
      </c>
      <c r="H140" s="83" t="n">
        <v>36</v>
      </c>
      <c r="I140" s="84" t="n">
        <v>14800</v>
      </c>
      <c r="J140" s="84" t="n">
        <v>532800</v>
      </c>
      <c r="K140" s="82" t="s">
        <v>134</v>
      </c>
      <c r="L140" s="83" t="n">
        <v>4</v>
      </c>
      <c r="M140" s="83" t="s">
        <v>160</v>
      </c>
      <c r="N140" s="85" t="n">
        <v>46086</v>
      </c>
    </row>
    <row r="141" customFormat="false" ht="15" hidden="false" customHeight="false" outlineLevel="0" collapsed="false">
      <c r="A141" s="82" t="s">
        <v>297</v>
      </c>
      <c r="B141" s="83" t="s">
        <v>129</v>
      </c>
      <c r="C141" s="83" t="n">
        <v>38</v>
      </c>
      <c r="D141" s="83" t="s">
        <v>123</v>
      </c>
      <c r="E141" s="82" t="s">
        <v>95</v>
      </c>
      <c r="F141" s="82" t="s">
        <v>30</v>
      </c>
      <c r="G141" s="82" t="s">
        <v>35</v>
      </c>
      <c r="H141" s="83" t="n">
        <v>15</v>
      </c>
      <c r="I141" s="84" t="n">
        <v>8300</v>
      </c>
      <c r="J141" s="84" t="n">
        <v>124500</v>
      </c>
      <c r="K141" s="82" t="s">
        <v>135</v>
      </c>
      <c r="L141" s="83" t="n">
        <v>6</v>
      </c>
      <c r="M141" s="83" t="s">
        <v>157</v>
      </c>
      <c r="N141" s="85" t="n">
        <v>46163</v>
      </c>
    </row>
    <row r="142" customFormat="false" ht="15" hidden="false" customHeight="false" outlineLevel="0" collapsed="false">
      <c r="A142" s="82" t="s">
        <v>298</v>
      </c>
      <c r="B142" s="83" t="s">
        <v>129</v>
      </c>
      <c r="C142" s="83" t="n">
        <v>59</v>
      </c>
      <c r="D142" s="83" t="s">
        <v>126</v>
      </c>
      <c r="E142" s="82" t="s">
        <v>96</v>
      </c>
      <c r="F142" s="82" t="s">
        <v>31</v>
      </c>
      <c r="G142" s="82" t="s">
        <v>33</v>
      </c>
      <c r="H142" s="83" t="n">
        <v>11</v>
      </c>
      <c r="I142" s="84" t="n">
        <v>14700</v>
      </c>
      <c r="J142" s="84" t="n">
        <v>161700</v>
      </c>
      <c r="K142" s="82" t="s">
        <v>135</v>
      </c>
      <c r="L142" s="83" t="n">
        <v>1</v>
      </c>
      <c r="M142" s="83" t="s">
        <v>160</v>
      </c>
      <c r="N142" s="85" t="n">
        <v>46037</v>
      </c>
    </row>
    <row r="143" customFormat="false" ht="15" hidden="false" customHeight="false" outlineLevel="0" collapsed="false">
      <c r="A143" s="82" t="s">
        <v>299</v>
      </c>
      <c r="B143" s="83" t="s">
        <v>129</v>
      </c>
      <c r="C143" s="83" t="n">
        <v>21</v>
      </c>
      <c r="D143" s="83" t="s">
        <v>119</v>
      </c>
      <c r="E143" s="82" t="s">
        <v>99</v>
      </c>
      <c r="F143" s="82" t="s">
        <v>30</v>
      </c>
      <c r="G143" s="82" t="s">
        <v>33</v>
      </c>
      <c r="H143" s="83" t="n">
        <v>27</v>
      </c>
      <c r="I143" s="84" t="n">
        <v>8700</v>
      </c>
      <c r="J143" s="84" t="n">
        <v>234900</v>
      </c>
      <c r="K143" s="82" t="s">
        <v>133</v>
      </c>
      <c r="L143" s="83" t="n">
        <v>1</v>
      </c>
      <c r="M143" s="83" t="s">
        <v>160</v>
      </c>
      <c r="N143" s="85" t="n">
        <v>46171</v>
      </c>
    </row>
    <row r="144" customFormat="false" ht="15" hidden="false" customHeight="false" outlineLevel="0" collapsed="false">
      <c r="A144" s="82" t="s">
        <v>300</v>
      </c>
      <c r="B144" s="83" t="s">
        <v>130</v>
      </c>
      <c r="C144" s="83" t="n">
        <v>49</v>
      </c>
      <c r="D144" s="83" t="s">
        <v>124</v>
      </c>
      <c r="E144" s="82" t="s">
        <v>95</v>
      </c>
      <c r="F144" s="82" t="s">
        <v>31</v>
      </c>
      <c r="G144" s="82" t="s">
        <v>34</v>
      </c>
      <c r="H144" s="83" t="n">
        <v>20</v>
      </c>
      <c r="I144" s="84" t="n">
        <v>14400</v>
      </c>
      <c r="J144" s="84" t="n">
        <v>288000</v>
      </c>
      <c r="K144" s="82" t="s">
        <v>134</v>
      </c>
      <c r="L144" s="83" t="n">
        <v>1</v>
      </c>
      <c r="M144" s="83" t="s">
        <v>160</v>
      </c>
      <c r="N144" s="85" t="n">
        <v>46096</v>
      </c>
    </row>
    <row r="145" customFormat="false" ht="15" hidden="false" customHeight="false" outlineLevel="0" collapsed="false">
      <c r="A145" s="82" t="s">
        <v>301</v>
      </c>
      <c r="B145" s="83" t="s">
        <v>130</v>
      </c>
      <c r="C145" s="83" t="n">
        <v>39</v>
      </c>
      <c r="D145" s="83" t="s">
        <v>123</v>
      </c>
      <c r="E145" s="82" t="s">
        <v>96</v>
      </c>
      <c r="F145" s="82" t="s">
        <v>32</v>
      </c>
      <c r="G145" s="82" t="s">
        <v>33</v>
      </c>
      <c r="H145" s="83" t="n">
        <v>24</v>
      </c>
      <c r="I145" s="84" t="n">
        <v>23600</v>
      </c>
      <c r="J145" s="84" t="n">
        <v>566400</v>
      </c>
      <c r="K145" s="82" t="s">
        <v>133</v>
      </c>
      <c r="L145" s="83" t="n">
        <v>1</v>
      </c>
      <c r="M145" s="83" t="s">
        <v>160</v>
      </c>
      <c r="N145" s="85" t="n">
        <v>46159</v>
      </c>
    </row>
    <row r="146" customFormat="false" ht="15" hidden="false" customHeight="false" outlineLevel="0" collapsed="false">
      <c r="A146" s="82" t="s">
        <v>302</v>
      </c>
      <c r="B146" s="83" t="s">
        <v>130</v>
      </c>
      <c r="C146" s="83" t="n">
        <v>34</v>
      </c>
      <c r="D146" s="83" t="s">
        <v>121</v>
      </c>
      <c r="E146" s="82" t="s">
        <v>95</v>
      </c>
      <c r="F146" s="82" t="s">
        <v>30</v>
      </c>
      <c r="G146" s="82" t="s">
        <v>33</v>
      </c>
      <c r="H146" s="83" t="n">
        <v>25</v>
      </c>
      <c r="I146" s="84" t="n">
        <v>9000</v>
      </c>
      <c r="J146" s="84" t="n">
        <v>225000</v>
      </c>
      <c r="K146" s="82" t="s">
        <v>132</v>
      </c>
      <c r="L146" s="83" t="n">
        <v>0</v>
      </c>
      <c r="M146" s="83" t="s">
        <v>160</v>
      </c>
      <c r="N146" s="85" t="n">
        <v>46183</v>
      </c>
    </row>
    <row r="147" customFormat="false" ht="15" hidden="false" customHeight="false" outlineLevel="0" collapsed="false">
      <c r="A147" s="82" t="s">
        <v>303</v>
      </c>
      <c r="B147" s="83" t="s">
        <v>129</v>
      </c>
      <c r="C147" s="83" t="n">
        <v>29</v>
      </c>
      <c r="D147" s="83" t="s">
        <v>121</v>
      </c>
      <c r="E147" s="82" t="s">
        <v>98</v>
      </c>
      <c r="F147" s="82" t="s">
        <v>32</v>
      </c>
      <c r="G147" s="82" t="s">
        <v>33</v>
      </c>
      <c r="H147" s="83" t="n">
        <v>20</v>
      </c>
      <c r="I147" s="84" t="n">
        <v>23500</v>
      </c>
      <c r="J147" s="84" t="n">
        <v>470000</v>
      </c>
      <c r="K147" s="82" t="s">
        <v>133</v>
      </c>
      <c r="L147" s="83" t="n">
        <v>4</v>
      </c>
      <c r="M147" s="83" t="s">
        <v>160</v>
      </c>
      <c r="N147" s="85" t="n">
        <v>46146</v>
      </c>
    </row>
    <row r="148" customFormat="false" ht="15" hidden="false" customHeight="false" outlineLevel="0" collapsed="false">
      <c r="A148" s="82" t="s">
        <v>304</v>
      </c>
      <c r="B148" s="83" t="s">
        <v>129</v>
      </c>
      <c r="C148" s="83" t="n">
        <v>56</v>
      </c>
      <c r="D148" s="83" t="s">
        <v>126</v>
      </c>
      <c r="E148" s="82" t="s">
        <v>96</v>
      </c>
      <c r="F148" s="82" t="s">
        <v>30</v>
      </c>
      <c r="G148" s="82" t="s">
        <v>33</v>
      </c>
      <c r="H148" s="83" t="n">
        <v>31</v>
      </c>
      <c r="I148" s="84" t="n">
        <v>8200</v>
      </c>
      <c r="J148" s="84" t="n">
        <v>254200</v>
      </c>
      <c r="K148" s="82" t="s">
        <v>132</v>
      </c>
      <c r="L148" s="83" t="n">
        <v>3</v>
      </c>
      <c r="M148" s="83" t="s">
        <v>160</v>
      </c>
      <c r="N148" s="85" t="n">
        <v>46229</v>
      </c>
    </row>
    <row r="149" customFormat="false" ht="15" hidden="false" customHeight="false" outlineLevel="0" collapsed="false">
      <c r="A149" s="82" t="s">
        <v>305</v>
      </c>
      <c r="B149" s="83" t="s">
        <v>130</v>
      </c>
      <c r="C149" s="83" t="n">
        <v>21</v>
      </c>
      <c r="D149" s="83" t="s">
        <v>119</v>
      </c>
      <c r="E149" s="82" t="s">
        <v>98</v>
      </c>
      <c r="F149" s="82" t="s">
        <v>30</v>
      </c>
      <c r="G149" s="82" t="s">
        <v>34</v>
      </c>
      <c r="H149" s="83" t="n">
        <v>24</v>
      </c>
      <c r="I149" s="84" t="n">
        <v>8600</v>
      </c>
      <c r="J149" s="84" t="n">
        <v>206400</v>
      </c>
      <c r="K149" s="82" t="s">
        <v>133</v>
      </c>
      <c r="L149" s="83" t="n">
        <v>2</v>
      </c>
      <c r="M149" s="83" t="s">
        <v>160</v>
      </c>
      <c r="N149" s="85" t="n">
        <v>46166</v>
      </c>
    </row>
    <row r="150" customFormat="false" ht="15" hidden="false" customHeight="false" outlineLevel="0" collapsed="false">
      <c r="A150" s="82" t="s">
        <v>306</v>
      </c>
      <c r="B150" s="83" t="s">
        <v>129</v>
      </c>
      <c r="C150" s="83" t="n">
        <v>27</v>
      </c>
      <c r="D150" s="83" t="s">
        <v>121</v>
      </c>
      <c r="E150" s="82" t="s">
        <v>93</v>
      </c>
      <c r="F150" s="82" t="s">
        <v>30</v>
      </c>
      <c r="G150" s="82" t="s">
        <v>35</v>
      </c>
      <c r="H150" s="83" t="n">
        <v>22</v>
      </c>
      <c r="I150" s="84" t="n">
        <v>8600</v>
      </c>
      <c r="J150" s="84" t="n">
        <v>189200</v>
      </c>
      <c r="K150" s="82" t="s">
        <v>134</v>
      </c>
      <c r="L150" s="83" t="n">
        <v>1</v>
      </c>
      <c r="M150" s="83" t="s">
        <v>157</v>
      </c>
      <c r="N150" s="85" t="n">
        <v>46093</v>
      </c>
    </row>
    <row r="151" customFormat="false" ht="15" hidden="false" customHeight="false" outlineLevel="0" collapsed="false">
      <c r="A151" s="82" t="s">
        <v>307</v>
      </c>
      <c r="B151" s="83" t="s">
        <v>130</v>
      </c>
      <c r="C151" s="83" t="n">
        <v>49</v>
      </c>
      <c r="D151" s="83" t="s">
        <v>124</v>
      </c>
      <c r="E151" s="82" t="s">
        <v>99</v>
      </c>
      <c r="F151" s="82" t="s">
        <v>31</v>
      </c>
      <c r="G151" s="82" t="s">
        <v>34</v>
      </c>
      <c r="H151" s="83" t="n">
        <v>33</v>
      </c>
      <c r="I151" s="84" t="n">
        <v>13700</v>
      </c>
      <c r="J151" s="84" t="n">
        <v>452100</v>
      </c>
      <c r="K151" s="82" t="s">
        <v>135</v>
      </c>
      <c r="L151" s="83" t="n">
        <v>2</v>
      </c>
      <c r="M151" s="83" t="s">
        <v>160</v>
      </c>
      <c r="N151" s="85" t="n">
        <v>46176</v>
      </c>
    </row>
  </sheetData>
  <conditionalFormatting sqref="M2:M151">
    <cfRule type="cellIs" priority="2" operator="equal" aboveAverage="0" equalAverage="0" bottom="0" percent="0" rank="0" text="" dxfId="12">
      <formula>"Yes"</formula>
    </cfRule>
    <cfRule type="cellIs" priority="3" operator="equal" aboveAverage="0" equalAverage="0" bottom="0" percent="0" rank="0" text="" dxfId="13">
      <formula>"Yes"</formula>
    </cfRule>
    <cfRule type="cellIs" priority="4" operator="equal" aboveAverage="0" equalAverage="0" bottom="0" percent="0" rank="0" text="" dxfId="5">
      <formula>"No"</formula>
    </cfRule>
  </conditionalFormatting>
  <printOptions headings="false" gridLines="false" gridLinesSet="true" horizontalCentered="false" verticalCentered="false"/>
  <pageMargins left="0.25" right="0.25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2B134"/>
    <pageSetUpPr fitToPage="true"/>
  </sheetPr>
  <dimension ref="A1: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100"/>
    <col collapsed="false" customWidth="true" hidden="false" outlineLevel="0" max="4" min="4" style="0" width="2"/>
  </cols>
  <sheetData>
    <row r="1" customFormat="false" ht="7.5" hidden="false" customHeight="true" outlineLevel="0" collapsed="false">
      <c r="A1" s="1"/>
      <c r="B1" s="1"/>
      <c r="C1" s="1"/>
      <c r="D1" s="1"/>
    </row>
    <row r="2" customFormat="false" ht="33.75" hidden="false" customHeight="true" outlineLevel="0" collapsed="false">
      <c r="A2" s="1"/>
      <c r="B2" s="86" t="s">
        <v>308</v>
      </c>
      <c r="C2" s="86"/>
      <c r="D2" s="1"/>
    </row>
    <row r="3" customFormat="false" ht="19.5" hidden="false" customHeight="true" outlineLevel="0" collapsed="false">
      <c r="A3" s="1"/>
      <c r="B3" s="4" t="s">
        <v>309</v>
      </c>
      <c r="C3" s="4"/>
      <c r="D3" s="1"/>
    </row>
    <row r="4" customFormat="false" ht="3.75" hidden="false" customHeight="true" outlineLevel="0" collapsed="false">
      <c r="A4" s="6"/>
      <c r="B4" s="6"/>
      <c r="C4" s="6"/>
      <c r="D4" s="6"/>
    </row>
    <row r="6" customFormat="false" ht="18" hidden="false" customHeight="true" outlineLevel="0" collapsed="false">
      <c r="B6" s="87" t="s">
        <v>310</v>
      </c>
      <c r="C6" s="88" t="s">
        <v>311</v>
      </c>
    </row>
    <row r="7" customFormat="false" ht="18" hidden="false" customHeight="true" outlineLevel="0" collapsed="false">
      <c r="B7" s="87" t="s">
        <v>312</v>
      </c>
      <c r="C7" s="88" t="s">
        <v>313</v>
      </c>
    </row>
    <row r="8" customFormat="false" ht="31.5" hidden="false" customHeight="true" outlineLevel="0" collapsed="false">
      <c r="B8" s="87" t="s">
        <v>314</v>
      </c>
      <c r="C8" s="88" t="s">
        <v>315</v>
      </c>
    </row>
    <row r="9" customFormat="false" ht="31.5" hidden="false" customHeight="true" outlineLevel="0" collapsed="false">
      <c r="B9" s="87" t="s">
        <v>316</v>
      </c>
      <c r="C9" s="88" t="s">
        <v>317</v>
      </c>
    </row>
    <row r="10" customFormat="false" ht="31.5" hidden="false" customHeight="true" outlineLevel="0" collapsed="false">
      <c r="B10" s="87" t="s">
        <v>318</v>
      </c>
      <c r="C10" s="88" t="s">
        <v>319</v>
      </c>
    </row>
    <row r="11" customFormat="false" ht="31.5" hidden="false" customHeight="true" outlineLevel="0" collapsed="false">
      <c r="B11" s="87" t="s">
        <v>320</v>
      </c>
      <c r="C11" s="88" t="s">
        <v>321</v>
      </c>
    </row>
    <row r="12" customFormat="false" ht="31.5" hidden="false" customHeight="true" outlineLevel="0" collapsed="false">
      <c r="B12" s="87" t="s">
        <v>322</v>
      </c>
      <c r="C12" s="88" t="s">
        <v>323</v>
      </c>
    </row>
    <row r="13" customFormat="false" ht="45.75" hidden="false" customHeight="true" outlineLevel="0" collapsed="false">
      <c r="B13" s="87" t="s">
        <v>324</v>
      </c>
      <c r="C13" s="88" t="s">
        <v>325</v>
      </c>
    </row>
    <row r="14" customFormat="false" ht="31.5" hidden="false" customHeight="true" outlineLevel="0" collapsed="false">
      <c r="B14" s="87" t="s">
        <v>326</v>
      </c>
      <c r="C14" s="88" t="s">
        <v>327</v>
      </c>
    </row>
    <row r="16" customFormat="false" ht="15" hidden="false" customHeight="false" outlineLevel="0" collapsed="false">
      <c r="B16" s="50" t="s">
        <v>328</v>
      </c>
      <c r="C16" s="50"/>
    </row>
    <row r="17" customFormat="false" ht="15" hidden="false" customHeight="false" outlineLevel="0" collapsed="false">
      <c r="B17" s="89" t="s">
        <v>329</v>
      </c>
      <c r="C17" s="82" t="s">
        <v>330</v>
      </c>
    </row>
    <row r="18" customFormat="false" ht="15" hidden="false" customHeight="false" outlineLevel="0" collapsed="false">
      <c r="B18" s="89" t="s">
        <v>331</v>
      </c>
      <c r="C18" s="82" t="s">
        <v>332</v>
      </c>
    </row>
    <row r="19" customFormat="false" ht="15" hidden="false" customHeight="false" outlineLevel="0" collapsed="false">
      <c r="B19" s="89" t="s">
        <v>333</v>
      </c>
      <c r="C19" s="82" t="s">
        <v>334</v>
      </c>
    </row>
    <row r="20" customFormat="false" ht="15" hidden="false" customHeight="false" outlineLevel="0" collapsed="false">
      <c r="B20" s="89" t="s">
        <v>335</v>
      </c>
      <c r="C20" s="82" t="s">
        <v>336</v>
      </c>
    </row>
  </sheetData>
  <mergeCells count="3">
    <mergeCell ref="B2:C2"/>
    <mergeCell ref="B3:C3"/>
    <mergeCell ref="B16:C16"/>
  </mergeCells>
  <hyperlinks>
    <hyperlink ref="B17" location="'Dashboard'!A1" display="Dashboard"/>
    <hyperlink ref="B18" location="'Analysis'!A1" display="Analysis"/>
    <hyperlink ref="B19" location="'Customer Data'!A1" display="Customer Data"/>
    <hyperlink ref="B20" location="'Chart Data'!A1" display="Chart Data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5DBE3"/>
    <pageSetUpPr fitToPage="true"/>
  </sheetPr>
  <dimension ref="B1:I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8" min="3" style="0" width="14"/>
    <col collapsed="false" customWidth="true" hidden="false" outlineLevel="0" max="9" min="9" style="0" width="16"/>
  </cols>
  <sheetData>
    <row r="1" customFormat="false" ht="27.75" hidden="false" customHeight="true" outlineLevel="0" collapsed="false">
      <c r="B1" s="90" t="s">
        <v>337</v>
      </c>
      <c r="C1" s="90"/>
      <c r="D1" s="90"/>
      <c r="E1" s="90"/>
      <c r="F1" s="90"/>
      <c r="G1" s="90"/>
      <c r="H1" s="90"/>
      <c r="I1" s="90"/>
    </row>
    <row r="2" customFormat="false" ht="15" hidden="false" customHeight="false" outlineLevel="0" collapsed="false">
      <c r="B2" s="91" t="s">
        <v>338</v>
      </c>
      <c r="C2" s="91"/>
      <c r="D2" s="91"/>
      <c r="E2" s="91"/>
      <c r="F2" s="91"/>
      <c r="G2" s="91"/>
      <c r="H2" s="91"/>
      <c r="I2" s="91"/>
    </row>
    <row r="4" customFormat="false" ht="15" hidden="false" customHeight="false" outlineLevel="0" collapsed="false">
      <c r="B4" s="50" t="s">
        <v>339</v>
      </c>
      <c r="C4" s="50"/>
      <c r="D4" s="50"/>
    </row>
    <row r="5" customFormat="false" ht="15" hidden="false" customHeight="false" outlineLevel="0" collapsed="false">
      <c r="B5" s="92" t="s">
        <v>147</v>
      </c>
      <c r="C5" s="93" t="str">
        <f aca="false">Dashboard!$D$6</f>
        <v>All</v>
      </c>
      <c r="D5" s="83" t="str">
        <f aca="false">IF(C5="All","*",C5)</f>
        <v>*</v>
      </c>
    </row>
    <row r="6" customFormat="false" ht="15" hidden="false" customHeight="false" outlineLevel="0" collapsed="false">
      <c r="B6" s="92" t="s">
        <v>148</v>
      </c>
      <c r="C6" s="93" t="str">
        <f aca="false">Dashboard!$M$6</f>
        <v>All</v>
      </c>
      <c r="D6" s="83" t="str">
        <f aca="false">IF(C6="All","*",C6)</f>
        <v>*</v>
      </c>
    </row>
    <row r="7" customFormat="false" ht="15" hidden="false" customHeight="false" outlineLevel="0" collapsed="false">
      <c r="B7" s="92" t="s">
        <v>29</v>
      </c>
      <c r="C7" s="93" t="str">
        <f aca="false">Dashboard!$V$6</f>
        <v>All</v>
      </c>
      <c r="D7" s="83" t="str">
        <f aca="false">IF(C7="All","*",C7)</f>
        <v>*</v>
      </c>
    </row>
    <row r="9" customFormat="false" ht="15" hidden="false" customHeight="false" outlineLevel="0" collapsed="false">
      <c r="B9" s="50" t="s">
        <v>340</v>
      </c>
      <c r="C9" s="50"/>
      <c r="D9" s="50"/>
      <c r="F9" s="50" t="s">
        <v>341</v>
      </c>
      <c r="G9" s="50"/>
      <c r="H9" s="50"/>
    </row>
    <row r="10" customFormat="false" ht="15" hidden="false" customHeight="false" outlineLevel="0" collapsed="false">
      <c r="B10" s="92" t="s">
        <v>342</v>
      </c>
      <c r="C10" s="94" t="n">
        <f aca="false">COUNTIFS(d_Region,f_Region,d_Plan,f_Plan,d_Contract,f_Contract)</f>
        <v>150</v>
      </c>
      <c r="F10" s="95" t="s">
        <v>343</v>
      </c>
      <c r="G10" s="95"/>
      <c r="H10" s="96" t="n">
        <v>0.35</v>
      </c>
    </row>
    <row r="11" customFormat="false" ht="15" hidden="false" customHeight="false" outlineLevel="0" collapsed="false">
      <c r="B11" s="92" t="s">
        <v>53</v>
      </c>
      <c r="C11" s="94" t="n">
        <f aca="false">COUNTIFS(d_Region,f_Region,d_Plan,f_Plan,d_Contract,f_Contract,d_Churned,"Yes")</f>
        <v>43</v>
      </c>
      <c r="F11" s="95" t="s">
        <v>344</v>
      </c>
      <c r="G11" s="95"/>
      <c r="H11" s="96" t="n">
        <v>0.25</v>
      </c>
    </row>
    <row r="12" customFormat="false" ht="15" hidden="false" customHeight="false" outlineLevel="0" collapsed="false">
      <c r="B12" s="92" t="s">
        <v>56</v>
      </c>
      <c r="C12" s="94" t="n">
        <f aca="false">C10-C11</f>
        <v>107</v>
      </c>
      <c r="F12" s="95" t="s">
        <v>345</v>
      </c>
      <c r="G12" s="95"/>
      <c r="H12" s="97" t="n">
        <v>10</v>
      </c>
    </row>
    <row r="13" customFormat="false" ht="15" hidden="false" customHeight="false" outlineLevel="0" collapsed="false">
      <c r="B13" s="92" t="s">
        <v>49</v>
      </c>
      <c r="C13" s="98" t="n">
        <f aca="false">IF(C10=0,0,C11/C10)</f>
        <v>0.286666666666667</v>
      </c>
    </row>
    <row r="14" customFormat="false" ht="15" hidden="false" customHeight="true" outlineLevel="0" collapsed="false">
      <c r="B14" s="92" t="s">
        <v>82</v>
      </c>
      <c r="C14" s="99" t="n">
        <f aca="false">SUMIFS(d_Total,d_Region,f_Region,d_Plan,f_Plan,d_Contract,f_Contract,d_Churned,"Yes")</f>
        <v>9919700</v>
      </c>
      <c r="F14" s="70" t="s">
        <v>346</v>
      </c>
      <c r="G14" s="70"/>
      <c r="H14" s="70"/>
    </row>
    <row r="15" customFormat="false" ht="15" hidden="false" customHeight="false" outlineLevel="0" collapsed="false">
      <c r="B15" s="92" t="s">
        <v>347</v>
      </c>
      <c r="C15" s="99" t="n">
        <f aca="false">SUMIFS(d_Monthly,d_Region,f_Region,d_Plan,f_Plan,d_Contract,f_Contract,d_Churned,"Yes")</f>
        <v>509600</v>
      </c>
      <c r="F15" s="70"/>
      <c r="G15" s="70"/>
      <c r="H15" s="70"/>
    </row>
    <row r="16" customFormat="false" ht="15" hidden="false" customHeight="false" outlineLevel="0" collapsed="false">
      <c r="B16" s="92" t="s">
        <v>348</v>
      </c>
      <c r="C16" s="99" t="n">
        <f aca="false">SUMIFS(d_Monthly,d_Region,f_Region,d_Plan,f_Plan,d_Contract,f_Contract)</f>
        <v>1969300</v>
      </c>
      <c r="F16" s="70"/>
      <c r="G16" s="70"/>
      <c r="H16" s="70"/>
    </row>
    <row r="17" customFormat="false" ht="15" hidden="false" customHeight="false" outlineLevel="0" collapsed="false">
      <c r="B17" s="92" t="s">
        <v>60</v>
      </c>
      <c r="C17" s="100" t="n">
        <f aca="false">IF(C10=0,0,1.96*SQRT(C13*(1-C13)/C10)*100)</f>
        <v>7.23677882097441</v>
      </c>
    </row>
    <row r="18" customFormat="false" ht="15" hidden="false" customHeight="false" outlineLevel="0" collapsed="false">
      <c r="B18" s="92" t="s">
        <v>349</v>
      </c>
      <c r="C18" s="94" t="n">
        <f aca="false">COUNTA(d_Churned)</f>
        <v>150</v>
      </c>
    </row>
    <row r="19" customFormat="false" ht="15" hidden="false" customHeight="false" outlineLevel="0" collapsed="false">
      <c r="B19" s="92" t="s">
        <v>350</v>
      </c>
      <c r="C19" s="101" t="n">
        <f aca="false">IF(AND(C5="All",C6="All",C7="All"),0,1)</f>
        <v>0</v>
      </c>
    </row>
    <row r="22" customFormat="false" ht="15" hidden="false" customHeight="false" outlineLevel="0" collapsed="false">
      <c r="B22" s="50" t="s">
        <v>351</v>
      </c>
      <c r="C22" s="50"/>
      <c r="D22" s="50"/>
      <c r="E22" s="50"/>
      <c r="F22" s="50"/>
      <c r="G22" s="50"/>
      <c r="H22" s="50"/>
      <c r="I22" s="50"/>
    </row>
    <row r="23" customFormat="false" ht="15" hidden="false" customHeight="false" outlineLevel="0" collapsed="false">
      <c r="B23" s="102" t="s">
        <v>86</v>
      </c>
      <c r="C23" s="103" t="s">
        <v>47</v>
      </c>
      <c r="D23" s="103" t="s">
        <v>48</v>
      </c>
      <c r="E23" s="103" t="s">
        <v>49</v>
      </c>
      <c r="F23" s="103" t="s">
        <v>352</v>
      </c>
      <c r="G23" s="103" t="s">
        <v>353</v>
      </c>
      <c r="H23" s="103" t="s">
        <v>354</v>
      </c>
      <c r="I23" s="103" t="s">
        <v>355</v>
      </c>
    </row>
    <row r="24" customFormat="false" ht="23.85" hidden="false" customHeight="false" outlineLevel="0" collapsed="false">
      <c r="B24" s="104" t="str">
        <f aca="false">Analysis!B24</f>
        <v>Monthly</v>
      </c>
      <c r="C24" s="57" t="n">
        <f aca="false">COUNTIFS(d_Contract,$B24,d_Region,f_Region,d_Plan,f_Plan)</f>
        <v>75</v>
      </c>
      <c r="D24" s="57" t="n">
        <f aca="false">COUNTIFS(d_Contract,$B24,d_Region,f_Region,d_Plan,f_Plan,d_Churned,"Yes")</f>
        <v>26</v>
      </c>
      <c r="E24" s="58" t="n">
        <f aca="false">IF(C24=0,0,D24/C24)</f>
        <v>0.346666666666667</v>
      </c>
      <c r="F24" s="74" t="n">
        <f aca="false">IF(AND(C24&gt;0,E24=MAX($E$24:$E$26)),E24,0)</f>
        <v>0.346666666666667</v>
      </c>
      <c r="G24" s="74" t="n">
        <f aca="false">E24-F24</f>
        <v>0</v>
      </c>
      <c r="H24" s="74" t="n">
        <f aca="false">k_Rate</f>
        <v>0.286666666666667</v>
      </c>
      <c r="I24" s="105" t="str">
        <f aca="false">B24&amp;CHAR(10)&amp;"n="&amp;C24</f>
        <v>Monthly
n=75</v>
      </c>
    </row>
    <row r="25" customFormat="false" ht="23.85" hidden="false" customHeight="false" outlineLevel="0" collapsed="false">
      <c r="B25" s="104" t="str">
        <f aca="false">Analysis!B25</f>
        <v>Quarterly</v>
      </c>
      <c r="C25" s="57" t="n">
        <f aca="false">COUNTIFS(d_Contract,$B25,d_Region,f_Region,d_Plan,f_Plan)</f>
        <v>41</v>
      </c>
      <c r="D25" s="57" t="n">
        <f aca="false">COUNTIFS(d_Contract,$B25,d_Region,f_Region,d_Plan,f_Plan,d_Churned,"Yes")</f>
        <v>12</v>
      </c>
      <c r="E25" s="58" t="n">
        <f aca="false">IF(C25=0,0,D25/C25)</f>
        <v>0.292682926829268</v>
      </c>
      <c r="F25" s="74" t="n">
        <f aca="false">IF(AND(C25&gt;0,E25=MAX($E$24:$E$26)),E25,0)</f>
        <v>0</v>
      </c>
      <c r="G25" s="74" t="n">
        <f aca="false">E25-F25</f>
        <v>0.292682926829268</v>
      </c>
      <c r="H25" s="74" t="n">
        <f aca="false">k_Rate</f>
        <v>0.286666666666667</v>
      </c>
      <c r="I25" s="105" t="str">
        <f aca="false">B25&amp;CHAR(10)&amp;"n="&amp;C25</f>
        <v>Quarterly
n=41</v>
      </c>
    </row>
    <row r="26" customFormat="false" ht="23.85" hidden="false" customHeight="false" outlineLevel="0" collapsed="false">
      <c r="B26" s="104" t="str">
        <f aca="false">Analysis!B26</f>
        <v>Annual</v>
      </c>
      <c r="C26" s="57" t="n">
        <f aca="false">COUNTIFS(d_Contract,$B26,d_Region,f_Region,d_Plan,f_Plan)</f>
        <v>34</v>
      </c>
      <c r="D26" s="57" t="n">
        <f aca="false">COUNTIFS(d_Contract,$B26,d_Region,f_Region,d_Plan,f_Plan,d_Churned,"Yes")</f>
        <v>5</v>
      </c>
      <c r="E26" s="58" t="n">
        <f aca="false">IF(C26=0,0,D26/C26)</f>
        <v>0.147058823529412</v>
      </c>
      <c r="F26" s="74" t="n">
        <f aca="false">IF(AND(C26&gt;0,E26=MAX($E$24:$E$26)),E26,0)</f>
        <v>0</v>
      </c>
      <c r="G26" s="74" t="n">
        <f aca="false">E26-F26</f>
        <v>0.147058823529412</v>
      </c>
      <c r="H26" s="74" t="n">
        <f aca="false">k_Rate</f>
        <v>0.286666666666667</v>
      </c>
      <c r="I26" s="105" t="str">
        <f aca="false">B26&amp;CHAR(10)&amp;"n="&amp;C26</f>
        <v>Annual
n=34</v>
      </c>
    </row>
    <row r="28" customFormat="false" ht="15" hidden="false" customHeight="false" outlineLevel="0" collapsed="false">
      <c r="B28" s="50" t="s">
        <v>356</v>
      </c>
      <c r="C28" s="50"/>
      <c r="D28" s="50"/>
      <c r="E28" s="50"/>
      <c r="F28" s="50"/>
      <c r="G28" s="50"/>
      <c r="H28" s="50"/>
      <c r="I28" s="50"/>
    </row>
    <row r="29" customFormat="false" ht="15" hidden="false" customHeight="false" outlineLevel="0" collapsed="false">
      <c r="B29" s="102" t="s">
        <v>86</v>
      </c>
      <c r="C29" s="103" t="s">
        <v>47</v>
      </c>
      <c r="D29" s="103" t="s">
        <v>48</v>
      </c>
      <c r="E29" s="103" t="s">
        <v>49</v>
      </c>
      <c r="F29" s="103" t="s">
        <v>352</v>
      </c>
      <c r="G29" s="103" t="s">
        <v>353</v>
      </c>
      <c r="H29" s="103" t="s">
        <v>354</v>
      </c>
      <c r="I29" s="103" t="s">
        <v>355</v>
      </c>
    </row>
    <row r="30" customFormat="false" ht="23.85" hidden="false" customHeight="false" outlineLevel="0" collapsed="false">
      <c r="B30" s="104" t="str">
        <f aca="false">Analysis!B31</f>
        <v>Basic</v>
      </c>
      <c r="C30" s="57" t="n">
        <f aca="false">COUNTIFS(d_Plan,$B30,d_Region,f_Region,d_Contract,f_Contract)</f>
        <v>73</v>
      </c>
      <c r="D30" s="57" t="n">
        <f aca="false">COUNTIFS(d_Plan,$B30,d_Region,f_Region,d_Contract,f_Contract,d_Churned,"Yes")</f>
        <v>25</v>
      </c>
      <c r="E30" s="58" t="n">
        <f aca="false">IF(C30=0,0,D30/C30)</f>
        <v>0.342465753424658</v>
      </c>
      <c r="F30" s="74" t="n">
        <f aca="false">IF(AND(C30&gt;0,E30=MAX($E$30:$E$32)),E30,0)</f>
        <v>0.342465753424658</v>
      </c>
      <c r="G30" s="74" t="n">
        <f aca="false">E30-F30</f>
        <v>0</v>
      </c>
      <c r="H30" s="74" t="n">
        <f aca="false">k_Rate</f>
        <v>0.286666666666667</v>
      </c>
      <c r="I30" s="105" t="str">
        <f aca="false">B30&amp;CHAR(10)&amp;"n="&amp;C30</f>
        <v>Basic
n=73</v>
      </c>
    </row>
    <row r="31" customFormat="false" ht="23.85" hidden="false" customHeight="false" outlineLevel="0" collapsed="false">
      <c r="B31" s="104" t="str">
        <f aca="false">Analysis!B32</f>
        <v>Standard</v>
      </c>
      <c r="C31" s="57" t="n">
        <f aca="false">COUNTIFS(d_Plan,$B31,d_Region,f_Region,d_Contract,f_Contract)</f>
        <v>51</v>
      </c>
      <c r="D31" s="57" t="n">
        <f aca="false">COUNTIFS(d_Plan,$B31,d_Region,f_Region,d_Contract,f_Contract,d_Churned,"Yes")</f>
        <v>13</v>
      </c>
      <c r="E31" s="58" t="n">
        <f aca="false">IF(C31=0,0,D31/C31)</f>
        <v>0.254901960784314</v>
      </c>
      <c r="F31" s="74" t="n">
        <f aca="false">IF(AND(C31&gt;0,E31=MAX($E$30:$E$32)),E31,0)</f>
        <v>0</v>
      </c>
      <c r="G31" s="74" t="n">
        <f aca="false">E31-F31</f>
        <v>0.254901960784314</v>
      </c>
      <c r="H31" s="74" t="n">
        <f aca="false">k_Rate</f>
        <v>0.286666666666667</v>
      </c>
      <c r="I31" s="105" t="str">
        <f aca="false">B31&amp;CHAR(10)&amp;"n="&amp;C31</f>
        <v>Standard
n=51</v>
      </c>
    </row>
    <row r="32" customFormat="false" ht="23.85" hidden="false" customHeight="false" outlineLevel="0" collapsed="false">
      <c r="B32" s="104" t="str">
        <f aca="false">Analysis!B33</f>
        <v>Premium</v>
      </c>
      <c r="C32" s="57" t="n">
        <f aca="false">COUNTIFS(d_Plan,$B32,d_Region,f_Region,d_Contract,f_Contract)</f>
        <v>26</v>
      </c>
      <c r="D32" s="57" t="n">
        <f aca="false">COUNTIFS(d_Plan,$B32,d_Region,f_Region,d_Contract,f_Contract,d_Churned,"Yes")</f>
        <v>5</v>
      </c>
      <c r="E32" s="58" t="n">
        <f aca="false">IF(C32=0,0,D32/C32)</f>
        <v>0.192307692307692</v>
      </c>
      <c r="F32" s="74" t="n">
        <f aca="false">IF(AND(C32&gt;0,E32=MAX($E$30:$E$32)),E32,0)</f>
        <v>0</v>
      </c>
      <c r="G32" s="74" t="n">
        <f aca="false">E32-F32</f>
        <v>0.192307692307692</v>
      </c>
      <c r="H32" s="74" t="n">
        <f aca="false">k_Rate</f>
        <v>0.286666666666667</v>
      </c>
      <c r="I32" s="105" t="str">
        <f aca="false">B32&amp;CHAR(10)&amp;"n="&amp;C32</f>
        <v>Premium
n=26</v>
      </c>
    </row>
    <row r="34" customFormat="false" ht="15" hidden="false" customHeight="false" outlineLevel="0" collapsed="false">
      <c r="B34" s="50" t="s">
        <v>357</v>
      </c>
      <c r="C34" s="50"/>
      <c r="D34" s="50"/>
      <c r="E34" s="50"/>
      <c r="F34" s="50"/>
      <c r="G34" s="50"/>
      <c r="H34" s="50"/>
      <c r="I34" s="50"/>
    </row>
    <row r="35" customFormat="false" ht="15" hidden="false" customHeight="false" outlineLevel="0" collapsed="false">
      <c r="B35" s="102" t="s">
        <v>86</v>
      </c>
      <c r="C35" s="103" t="s">
        <v>47</v>
      </c>
      <c r="D35" s="103" t="s">
        <v>48</v>
      </c>
      <c r="E35" s="103" t="s">
        <v>49</v>
      </c>
      <c r="F35" s="103" t="s">
        <v>352</v>
      </c>
      <c r="G35" s="103" t="s">
        <v>353</v>
      </c>
      <c r="H35" s="103" t="s">
        <v>354</v>
      </c>
      <c r="I35" s="103" t="s">
        <v>355</v>
      </c>
    </row>
    <row r="36" customFormat="false" ht="23.85" hidden="false" customHeight="false" outlineLevel="0" collapsed="false">
      <c r="B36" s="104" t="str">
        <f aca="false">Analysis!B38</f>
        <v>Abuja</v>
      </c>
      <c r="C36" s="57" t="n">
        <f aca="false">COUNTIFS(d_Region,$B36,d_Plan,f_Plan,d_Contract,f_Contract)</f>
        <v>31</v>
      </c>
      <c r="D36" s="57" t="n">
        <f aca="false">COUNTIFS(d_Region,$B36,d_Plan,f_Plan,d_Contract,f_Contract,d_Churned,"Yes")</f>
        <v>10</v>
      </c>
      <c r="E36" s="58" t="n">
        <f aca="false">IF(C36=0,0,D36/C36)</f>
        <v>0.32258064516129</v>
      </c>
      <c r="F36" s="74" t="n">
        <f aca="false">IF(AND(C36&gt;0,E36=MAX($E$36:$E$40)),E36,0)</f>
        <v>0</v>
      </c>
      <c r="G36" s="74" t="n">
        <f aca="false">E36-F36</f>
        <v>0.32258064516129</v>
      </c>
      <c r="H36" s="74" t="n">
        <f aca="false">k_Rate</f>
        <v>0.286666666666667</v>
      </c>
      <c r="I36" s="105" t="str">
        <f aca="false">B36&amp;CHAR(10)&amp;"n="&amp;C36</f>
        <v>Abuja
n=31</v>
      </c>
    </row>
    <row r="37" customFormat="false" ht="23.85" hidden="false" customHeight="false" outlineLevel="0" collapsed="false">
      <c r="B37" s="104" t="str">
        <f aca="false">Analysis!B39</f>
        <v>Lagos</v>
      </c>
      <c r="C37" s="57" t="n">
        <f aca="false">COUNTIFS(d_Region,$B37,d_Plan,f_Plan,d_Contract,f_Contract)</f>
        <v>31</v>
      </c>
      <c r="D37" s="57" t="n">
        <f aca="false">COUNTIFS(d_Region,$B37,d_Plan,f_Plan,d_Contract,f_Contract,d_Churned,"Yes")</f>
        <v>9</v>
      </c>
      <c r="E37" s="58" t="n">
        <f aca="false">IF(C37=0,0,D37/C37)</f>
        <v>0.290322580645161</v>
      </c>
      <c r="F37" s="74" t="n">
        <f aca="false">IF(AND(C37&gt;0,E37=MAX($E$36:$E$40)),E37,0)</f>
        <v>0</v>
      </c>
      <c r="G37" s="74" t="n">
        <f aca="false">E37-F37</f>
        <v>0.290322580645161</v>
      </c>
      <c r="H37" s="74" t="n">
        <f aca="false">k_Rate</f>
        <v>0.286666666666667</v>
      </c>
      <c r="I37" s="105" t="str">
        <f aca="false">B37&amp;CHAR(10)&amp;"n="&amp;C37</f>
        <v>Lagos
n=31</v>
      </c>
    </row>
    <row r="38" customFormat="false" ht="23.85" hidden="false" customHeight="false" outlineLevel="0" collapsed="false">
      <c r="B38" s="104" t="str">
        <f aca="false">Analysis!B40</f>
        <v>Port Harcourt</v>
      </c>
      <c r="C38" s="57" t="n">
        <f aca="false">COUNTIFS(d_Region,$B38,d_Plan,f_Plan,d_Contract,f_Contract)</f>
        <v>36</v>
      </c>
      <c r="D38" s="57" t="n">
        <f aca="false">COUNTIFS(d_Region,$B38,d_Plan,f_Plan,d_Contract,f_Contract,d_Churned,"Yes")</f>
        <v>9</v>
      </c>
      <c r="E38" s="58" t="n">
        <f aca="false">IF(C38=0,0,D38/C38)</f>
        <v>0.25</v>
      </c>
      <c r="F38" s="74" t="n">
        <f aca="false">IF(AND(C38&gt;0,E38=MAX($E$36:$E$40)),E38,0)</f>
        <v>0</v>
      </c>
      <c r="G38" s="74" t="n">
        <f aca="false">E38-F38</f>
        <v>0.25</v>
      </c>
      <c r="H38" s="74" t="n">
        <f aca="false">k_Rate</f>
        <v>0.286666666666667</v>
      </c>
      <c r="I38" s="105" t="str">
        <f aca="false">B38&amp;CHAR(10)&amp;"n="&amp;C38</f>
        <v>Port Harcourt
n=36</v>
      </c>
    </row>
    <row r="39" customFormat="false" ht="23.85" hidden="false" customHeight="false" outlineLevel="0" collapsed="false">
      <c r="B39" s="104" t="str">
        <f aca="false">Analysis!B41</f>
        <v>Kano</v>
      </c>
      <c r="C39" s="57" t="n">
        <f aca="false">COUNTIFS(d_Region,$B39,d_Plan,f_Plan,d_Contract,f_Contract)</f>
        <v>26</v>
      </c>
      <c r="D39" s="57" t="n">
        <f aca="false">COUNTIFS(d_Region,$B39,d_Plan,f_Plan,d_Contract,f_Contract,d_Churned,"Yes")</f>
        <v>9</v>
      </c>
      <c r="E39" s="58" t="n">
        <f aca="false">IF(C39=0,0,D39/C39)</f>
        <v>0.346153846153846</v>
      </c>
      <c r="F39" s="74" t="n">
        <f aca="false">IF(AND(C39&gt;0,E39=MAX($E$36:$E$40)),E39,0)</f>
        <v>0.346153846153846</v>
      </c>
      <c r="G39" s="74" t="n">
        <f aca="false">E39-F39</f>
        <v>0</v>
      </c>
      <c r="H39" s="74" t="n">
        <f aca="false">k_Rate</f>
        <v>0.286666666666667</v>
      </c>
      <c r="I39" s="105" t="str">
        <f aca="false">B39&amp;CHAR(10)&amp;"n="&amp;C39</f>
        <v>Kano
n=26</v>
      </c>
    </row>
    <row r="40" customFormat="false" ht="23.85" hidden="false" customHeight="false" outlineLevel="0" collapsed="false">
      <c r="B40" s="104" t="str">
        <f aca="false">Analysis!B42</f>
        <v>Ibadan</v>
      </c>
      <c r="C40" s="57" t="n">
        <f aca="false">COUNTIFS(d_Region,$B40,d_Plan,f_Plan,d_Contract,f_Contract)</f>
        <v>26</v>
      </c>
      <c r="D40" s="57" t="n">
        <f aca="false">COUNTIFS(d_Region,$B40,d_Plan,f_Plan,d_Contract,f_Contract,d_Churned,"Yes")</f>
        <v>6</v>
      </c>
      <c r="E40" s="58" t="n">
        <f aca="false">IF(C40=0,0,D40/C40)</f>
        <v>0.230769230769231</v>
      </c>
      <c r="F40" s="74" t="n">
        <f aca="false">IF(AND(C40&gt;0,E40=MAX($E$36:$E$40)),E40,0)</f>
        <v>0</v>
      </c>
      <c r="G40" s="74" t="n">
        <f aca="false">E40-F40</f>
        <v>0.230769230769231</v>
      </c>
      <c r="H40" s="74" t="n">
        <f aca="false">k_Rate</f>
        <v>0.286666666666667</v>
      </c>
      <c r="I40" s="105" t="str">
        <f aca="false">B40&amp;CHAR(10)&amp;"n="&amp;C40</f>
        <v>Ibadan
n=26</v>
      </c>
    </row>
    <row r="42" customFormat="false" ht="15" hidden="false" customHeight="false" outlineLevel="0" collapsed="false">
      <c r="B42" s="50" t="s">
        <v>358</v>
      </c>
      <c r="C42" s="50"/>
      <c r="D42" s="50"/>
      <c r="E42" s="50"/>
      <c r="F42" s="50"/>
      <c r="G42" s="50"/>
      <c r="H42" s="50"/>
      <c r="I42" s="50"/>
    </row>
    <row r="43" customFormat="false" ht="15" hidden="false" customHeight="false" outlineLevel="0" collapsed="false">
      <c r="B43" s="102" t="s">
        <v>86</v>
      </c>
      <c r="C43" s="103" t="s">
        <v>47</v>
      </c>
      <c r="D43" s="103" t="s">
        <v>48</v>
      </c>
      <c r="E43" s="103" t="s">
        <v>49</v>
      </c>
      <c r="F43" s="103" t="s">
        <v>352</v>
      </c>
      <c r="G43" s="103" t="s">
        <v>353</v>
      </c>
      <c r="H43" s="103" t="s">
        <v>354</v>
      </c>
      <c r="I43" s="103" t="s">
        <v>355</v>
      </c>
    </row>
    <row r="44" customFormat="false" ht="23.85" hidden="false" customHeight="false" outlineLevel="0" collapsed="false">
      <c r="B44" s="104" t="str">
        <f aca="false">Analysis!B47</f>
        <v>0-6</v>
      </c>
      <c r="C44" s="57" t="n">
        <f aca="false">COUNTIFS(d_Tenure,"&gt;="&amp;Analysis!$H$47,d_Tenure,"&lt;="&amp;Analysis!$I$47,d_Region,f_Region,d_Plan,f_Plan,d_Contract,f_Contract)</f>
        <v>24</v>
      </c>
      <c r="D44" s="57" t="n">
        <f aca="false">COUNTIFS(d_Tenure,"&gt;="&amp;Analysis!$H$47,d_Tenure,"&lt;="&amp;Analysis!$I$47,d_Region,f_Region,d_Plan,f_Plan,d_Contract,f_Contract,d_Churned,"Yes")</f>
        <v>9</v>
      </c>
      <c r="E44" s="58" t="n">
        <f aca="false">IF(C44=0,0,D44/C44)</f>
        <v>0.375</v>
      </c>
      <c r="F44" s="74" t="n">
        <f aca="false">IF(AND(C44&gt;0,E44=MAX($E$44:$E$47)),E44,0)</f>
        <v>0.375</v>
      </c>
      <c r="G44" s="74" t="n">
        <f aca="false">E44-F44</f>
        <v>0</v>
      </c>
      <c r="H44" s="74" t="n">
        <f aca="false">k_Rate</f>
        <v>0.286666666666667</v>
      </c>
      <c r="I44" s="105" t="str">
        <f aca="false">B44&amp;CHAR(10)&amp;"n="&amp;C44</f>
        <v>0-6
n=24</v>
      </c>
    </row>
    <row r="45" customFormat="false" ht="23.85" hidden="false" customHeight="false" outlineLevel="0" collapsed="false">
      <c r="B45" s="104" t="str">
        <f aca="false">Analysis!B48</f>
        <v>7-12</v>
      </c>
      <c r="C45" s="57" t="n">
        <f aca="false">COUNTIFS(d_Tenure,"&gt;="&amp;Analysis!$H$48,d_Tenure,"&lt;="&amp;Analysis!$I$48,d_Region,f_Region,d_Plan,f_Plan,d_Contract,f_Contract)</f>
        <v>20</v>
      </c>
      <c r="D45" s="57" t="n">
        <f aca="false">COUNTIFS(d_Tenure,"&gt;="&amp;Analysis!$H$48,d_Tenure,"&lt;="&amp;Analysis!$I$48,d_Region,f_Region,d_Plan,f_Plan,d_Contract,f_Contract,d_Churned,"Yes")</f>
        <v>5</v>
      </c>
      <c r="E45" s="58" t="n">
        <f aca="false">IF(C45=0,0,D45/C45)</f>
        <v>0.25</v>
      </c>
      <c r="F45" s="74" t="n">
        <f aca="false">IF(AND(C45&gt;0,E45=MAX($E$44:$E$47)),E45,0)</f>
        <v>0</v>
      </c>
      <c r="G45" s="74" t="n">
        <f aca="false">E45-F45</f>
        <v>0.25</v>
      </c>
      <c r="H45" s="74" t="n">
        <f aca="false">k_Rate</f>
        <v>0.286666666666667</v>
      </c>
      <c r="I45" s="105" t="str">
        <f aca="false">B45&amp;CHAR(10)&amp;"n="&amp;C45</f>
        <v>7-12
n=20</v>
      </c>
    </row>
    <row r="46" customFormat="false" ht="23.85" hidden="false" customHeight="false" outlineLevel="0" collapsed="false">
      <c r="B46" s="104" t="str">
        <f aca="false">Analysis!B49</f>
        <v>13-24</v>
      </c>
      <c r="C46" s="57" t="n">
        <f aca="false">COUNTIFS(d_Tenure,"&gt;="&amp;Analysis!$H$49,d_Tenure,"&lt;="&amp;Analysis!$I$49,d_Region,f_Region,d_Plan,f_Plan,d_Contract,f_Contract)</f>
        <v>56</v>
      </c>
      <c r="D46" s="57" t="n">
        <f aca="false">COUNTIFS(d_Tenure,"&gt;="&amp;Analysis!$H$49,d_Tenure,"&lt;="&amp;Analysis!$I$49,d_Region,f_Region,d_Plan,f_Plan,d_Contract,f_Contract,d_Churned,"Yes")</f>
        <v>12</v>
      </c>
      <c r="E46" s="58" t="n">
        <f aca="false">IF(C46=0,0,D46/C46)</f>
        <v>0.214285714285714</v>
      </c>
      <c r="F46" s="74" t="n">
        <f aca="false">IF(AND(C46&gt;0,E46=MAX($E$44:$E$47)),E46,0)</f>
        <v>0</v>
      </c>
      <c r="G46" s="74" t="n">
        <f aca="false">E46-F46</f>
        <v>0.214285714285714</v>
      </c>
      <c r="H46" s="74" t="n">
        <f aca="false">k_Rate</f>
        <v>0.286666666666667</v>
      </c>
      <c r="I46" s="105" t="str">
        <f aca="false">B46&amp;CHAR(10)&amp;"n="&amp;C46</f>
        <v>13-24
n=56</v>
      </c>
    </row>
    <row r="47" customFormat="false" ht="23.85" hidden="false" customHeight="false" outlineLevel="0" collapsed="false">
      <c r="B47" s="104" t="str">
        <f aca="false">Analysis!B50</f>
        <v>25+</v>
      </c>
      <c r="C47" s="57" t="n">
        <f aca="false">COUNTIFS(d_Tenure,"&gt;="&amp;Analysis!$H$50,d_Tenure,"&lt;="&amp;Analysis!$I$50,d_Region,f_Region,d_Plan,f_Plan,d_Contract,f_Contract)</f>
        <v>50</v>
      </c>
      <c r="D47" s="57" t="n">
        <f aca="false">COUNTIFS(d_Tenure,"&gt;="&amp;Analysis!$H$50,d_Tenure,"&lt;="&amp;Analysis!$I$50,d_Region,f_Region,d_Plan,f_Plan,d_Contract,f_Contract,d_Churned,"Yes")</f>
        <v>17</v>
      </c>
      <c r="E47" s="58" t="n">
        <f aca="false">IF(C47=0,0,D47/C47)</f>
        <v>0.34</v>
      </c>
      <c r="F47" s="74" t="n">
        <f aca="false">IF(AND(C47&gt;0,E47=MAX($E$44:$E$47)),E47,0)</f>
        <v>0</v>
      </c>
      <c r="G47" s="74" t="n">
        <f aca="false">E47-F47</f>
        <v>0.34</v>
      </c>
      <c r="H47" s="74" t="n">
        <f aca="false">k_Rate</f>
        <v>0.286666666666667</v>
      </c>
      <c r="I47" s="105" t="str">
        <f aca="false">B47&amp;CHAR(10)&amp;"n="&amp;C47</f>
        <v>25+
n=50</v>
      </c>
    </row>
    <row r="49" customFormat="false" ht="15" hidden="false" customHeight="false" outlineLevel="0" collapsed="false">
      <c r="B49" s="50" t="s">
        <v>359</v>
      </c>
      <c r="C49" s="50"/>
      <c r="D49" s="50"/>
      <c r="E49" s="50"/>
      <c r="F49" s="50"/>
      <c r="G49" s="50"/>
      <c r="H49" s="50"/>
      <c r="I49" s="50"/>
    </row>
    <row r="50" customFormat="false" ht="15" hidden="false" customHeight="false" outlineLevel="0" collapsed="false">
      <c r="B50" s="102" t="s">
        <v>46</v>
      </c>
      <c r="C50" s="103" t="s">
        <v>47</v>
      </c>
      <c r="D50" s="103" t="s">
        <v>48</v>
      </c>
      <c r="E50" s="103" t="s">
        <v>49</v>
      </c>
      <c r="F50" s="103" t="s">
        <v>360</v>
      </c>
    </row>
    <row r="51" customFormat="false" ht="15" hidden="false" customHeight="false" outlineLevel="0" collapsed="false">
      <c r="B51" s="56" t="s">
        <v>55</v>
      </c>
      <c r="C51" s="57" t="n">
        <f aca="false">COUNTIFS(d_Plan,"Basic",d_Contract,"Monthly",d_Region,f_Region)</f>
        <v>35</v>
      </c>
      <c r="D51" s="57" t="n">
        <f aca="false">COUNTIFS(d_Plan,"Basic",d_Contract,"Monthly",d_Region,f_Region,d_Churned,"Yes")</f>
        <v>15</v>
      </c>
      <c r="E51" s="58" t="n">
        <f aca="false">IF(C51=0,0,D51/C51)</f>
        <v>0.428571428571429</v>
      </c>
      <c r="F51" s="60" t="n">
        <f aca="false">IF(C51&gt;=t_MinN,E51,-1)</f>
        <v>0.428571428571429</v>
      </c>
    </row>
    <row r="52" customFormat="false" ht="15" hidden="false" customHeight="false" outlineLevel="0" collapsed="false">
      <c r="B52" s="56" t="s">
        <v>57</v>
      </c>
      <c r="C52" s="57" t="n">
        <f aca="false">COUNTIFS(d_Plan,"Standard",d_Contract,"Monthly",d_Region,f_Region)</f>
        <v>26</v>
      </c>
      <c r="D52" s="57" t="n">
        <f aca="false">COUNTIFS(d_Plan,"Standard",d_Contract,"Monthly",d_Region,f_Region,d_Churned,"Yes")</f>
        <v>8</v>
      </c>
      <c r="E52" s="58" t="n">
        <f aca="false">IF(C52=0,0,D52/C52)</f>
        <v>0.307692307692308</v>
      </c>
      <c r="F52" s="60" t="n">
        <f aca="false">IF(C52&gt;=t_MinN,E52,-1)</f>
        <v>0.307692307692308</v>
      </c>
    </row>
    <row r="53" customFormat="false" ht="15" hidden="false" customHeight="false" outlineLevel="0" collapsed="false">
      <c r="B53" s="56" t="s">
        <v>59</v>
      </c>
      <c r="C53" s="57" t="n">
        <f aca="false">COUNTIFS(d_Plan,"Premium",d_Contract,"Monthly",d_Region,f_Region)</f>
        <v>14</v>
      </c>
      <c r="D53" s="57" t="n">
        <f aca="false">COUNTIFS(d_Plan,"Premium",d_Contract,"Monthly",d_Region,f_Region,d_Churned,"Yes")</f>
        <v>3</v>
      </c>
      <c r="E53" s="58" t="n">
        <f aca="false">IF(C53=0,0,D53/C53)</f>
        <v>0.214285714285714</v>
      </c>
      <c r="F53" s="60" t="n">
        <f aca="false">IF(C53&gt;=t_MinN,E53,-1)</f>
        <v>0.214285714285714</v>
      </c>
    </row>
    <row r="54" customFormat="false" ht="15" hidden="false" customHeight="false" outlineLevel="0" collapsed="false">
      <c r="B54" s="56" t="s">
        <v>62</v>
      </c>
      <c r="C54" s="57" t="n">
        <f aca="false">COUNTIFS(d_Plan,"Basic",d_Contract,"Quarterly",d_Region,f_Region)</f>
        <v>19</v>
      </c>
      <c r="D54" s="57" t="n">
        <f aca="false">COUNTIFS(d_Plan,"Basic",d_Contract,"Quarterly",d_Region,f_Region,d_Churned,"Yes")</f>
        <v>6</v>
      </c>
      <c r="E54" s="58" t="n">
        <f aca="false">IF(C54=0,0,D54/C54)</f>
        <v>0.315789473684211</v>
      </c>
      <c r="F54" s="60" t="n">
        <f aca="false">IF(C54&gt;=t_MinN,E54,-1)</f>
        <v>0.315789473684211</v>
      </c>
    </row>
    <row r="55" customFormat="false" ht="15" hidden="false" customHeight="false" outlineLevel="0" collapsed="false">
      <c r="B55" s="56" t="s">
        <v>64</v>
      </c>
      <c r="C55" s="57" t="n">
        <f aca="false">COUNTIFS(d_Plan,"Standard",d_Contract,"Quarterly",d_Region,f_Region)</f>
        <v>15</v>
      </c>
      <c r="D55" s="57" t="n">
        <f aca="false">COUNTIFS(d_Plan,"Standard",d_Contract,"Quarterly",d_Region,f_Region,d_Churned,"Yes")</f>
        <v>4</v>
      </c>
      <c r="E55" s="58" t="n">
        <f aca="false">IF(C55=0,0,D55/C55)</f>
        <v>0.266666666666667</v>
      </c>
      <c r="F55" s="60" t="n">
        <f aca="false">IF(C55&gt;=t_MinN,E55,-1)</f>
        <v>0.266666666666667</v>
      </c>
    </row>
    <row r="56" customFormat="false" ht="15" hidden="false" customHeight="false" outlineLevel="0" collapsed="false">
      <c r="B56" s="56" t="s">
        <v>67</v>
      </c>
      <c r="C56" s="57" t="n">
        <f aca="false">COUNTIFS(d_Plan,"Premium",d_Contract,"Quarterly",d_Region,f_Region)</f>
        <v>7</v>
      </c>
      <c r="D56" s="57" t="n">
        <f aca="false">COUNTIFS(d_Plan,"Premium",d_Contract,"Quarterly",d_Region,f_Region,d_Churned,"Yes")</f>
        <v>2</v>
      </c>
      <c r="E56" s="58" t="n">
        <f aca="false">IF(C56=0,0,D56/C56)</f>
        <v>0.285714285714286</v>
      </c>
      <c r="F56" s="60" t="n">
        <f aca="false">IF(C56&gt;=t_MinN,E56,-1)</f>
        <v>-1</v>
      </c>
    </row>
    <row r="57" customFormat="false" ht="15" hidden="false" customHeight="false" outlineLevel="0" collapsed="false">
      <c r="B57" s="56" t="s">
        <v>69</v>
      </c>
      <c r="C57" s="57" t="n">
        <f aca="false">COUNTIFS(d_Plan,"Basic",d_Contract,"Annual",d_Region,f_Region)</f>
        <v>19</v>
      </c>
      <c r="D57" s="57" t="n">
        <f aca="false">COUNTIFS(d_Plan,"Basic",d_Contract,"Annual",d_Region,f_Region,d_Churned,"Yes")</f>
        <v>4</v>
      </c>
      <c r="E57" s="58" t="n">
        <f aca="false">IF(C57=0,0,D57/C57)</f>
        <v>0.210526315789474</v>
      </c>
      <c r="F57" s="60" t="n">
        <f aca="false">IF(C57&gt;=t_MinN,E57,-1)</f>
        <v>0.210526315789474</v>
      </c>
    </row>
    <row r="58" customFormat="false" ht="15" hidden="false" customHeight="false" outlineLevel="0" collapsed="false">
      <c r="B58" s="56" t="s">
        <v>71</v>
      </c>
      <c r="C58" s="57" t="n">
        <f aca="false">COUNTIFS(d_Plan,"Standard",d_Contract,"Annual",d_Region,f_Region)</f>
        <v>10</v>
      </c>
      <c r="D58" s="57" t="n">
        <f aca="false">COUNTIFS(d_Plan,"Standard",d_Contract,"Annual",d_Region,f_Region,d_Churned,"Yes")</f>
        <v>1</v>
      </c>
      <c r="E58" s="58" t="n">
        <f aca="false">IF(C58=0,0,D58/C58)</f>
        <v>0.1</v>
      </c>
      <c r="F58" s="60" t="n">
        <f aca="false">IF(C58&gt;=t_MinN,E58,-1)</f>
        <v>0.1</v>
      </c>
    </row>
    <row r="59" customFormat="false" ht="15" hidden="false" customHeight="false" outlineLevel="0" collapsed="false">
      <c r="B59" s="56" t="s">
        <v>74</v>
      </c>
      <c r="C59" s="57" t="n">
        <f aca="false">COUNTIFS(d_Plan,"Premium",d_Contract,"Annual",d_Region,f_Region)</f>
        <v>5</v>
      </c>
      <c r="D59" s="57" t="n">
        <f aca="false">COUNTIFS(d_Plan,"Premium",d_Contract,"Annual",d_Region,f_Region,d_Churned,"Yes")</f>
        <v>0</v>
      </c>
      <c r="E59" s="58" t="n">
        <f aca="false">IF(C59=0,0,D59/C59)</f>
        <v>0</v>
      </c>
      <c r="F59" s="60" t="n">
        <f aca="false">IF(C59&gt;=t_MinN,E59,-1)</f>
        <v>-1</v>
      </c>
    </row>
    <row r="60" customFormat="false" ht="15" hidden="false" customHeight="false" outlineLevel="0" collapsed="false">
      <c r="B60" s="106" t="s">
        <v>361</v>
      </c>
      <c r="C60" s="107" t="str">
        <f aca="false">IF(MAX(F51:F59)&lt;0,"n/a",INDEX(B51:B59,MATCH(MAX(F51:F59),F51:F59,0)))</f>
        <v>Basic · Monthly</v>
      </c>
      <c r="D60" s="107"/>
      <c r="E60" s="108" t="n">
        <f aca="false">MAX(0,MAX(F51:F59))</f>
        <v>0.428571428571429</v>
      </c>
      <c r="F60" s="109" t="n">
        <f aca="false">IF(MAX(F51:F59)&lt;0,0,INDEX(C51:C59,MATCH(MAX(F51:F59),F51:F59,0)))</f>
        <v>35</v>
      </c>
    </row>
  </sheetData>
  <mergeCells count="15">
    <mergeCell ref="B1:I1"/>
    <mergeCell ref="B2:I2"/>
    <mergeCell ref="B4:D4"/>
    <mergeCell ref="B9:D9"/>
    <mergeCell ref="F9:H9"/>
    <mergeCell ref="F10:G10"/>
    <mergeCell ref="F11:G11"/>
    <mergeCell ref="F12:G12"/>
    <mergeCell ref="F14:H16"/>
    <mergeCell ref="B22:I22"/>
    <mergeCell ref="B28:I28"/>
    <mergeCell ref="B34:I34"/>
    <mergeCell ref="B42:I42"/>
    <mergeCell ref="B49:I49"/>
    <mergeCell ref="C60:D6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2026-10-08T12:36:05Z</dcterms:created>
  <dc:creator>openpyxl</dc:creator>
  <dc:description/>
  <dc:language>en-US</dc:language>
  <cp:lastModifiedBy/>
  <dcterms:modified xsi:type="dcterms:W3CDTF">2026-10-08T20:30:47Z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